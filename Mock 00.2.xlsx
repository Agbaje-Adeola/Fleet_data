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OLA AGBAJE\Desktop\Mock fleet II\"/>
    </mc:Choice>
  </mc:AlternateContent>
  <xr:revisionPtr revIDLastSave="0" documentId="13_ncr:1_{A2675D0E-91B2-4F76-94DF-65CC302C0C59}" xr6:coauthVersionLast="47" xr6:coauthVersionMax="47" xr10:uidLastSave="{00000000-0000-0000-0000-000000000000}"/>
  <bookViews>
    <workbookView xWindow="-120" yWindow="-120" windowWidth="20730" windowHeight="11040" xr2:uid="{6EC41093-81E2-424B-BA77-7D71CB55DEAD}"/>
  </bookViews>
  <sheets>
    <sheet name="MOCK 001.1" sheetId="1" r:id="rId1"/>
    <sheet name="Definition of term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17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N3" i="1"/>
  <c r="P3" i="1" s="1"/>
  <c r="N4" i="1"/>
  <c r="N5" i="1"/>
  <c r="P5" i="1" s="1"/>
  <c r="N6" i="1"/>
  <c r="P6" i="1" s="1"/>
  <c r="N7" i="1"/>
  <c r="N8" i="1"/>
  <c r="N9" i="1"/>
  <c r="N10" i="1"/>
  <c r="P10" i="1" s="1"/>
  <c r="N11" i="1"/>
  <c r="N12" i="1"/>
  <c r="P12" i="1" s="1"/>
  <c r="N13" i="1"/>
  <c r="P13" i="1" s="1"/>
  <c r="N14" i="1"/>
  <c r="P14" i="1" s="1"/>
  <c r="N15" i="1"/>
  <c r="P15" i="1" s="1"/>
  <c r="N16" i="1"/>
  <c r="N17" i="1"/>
  <c r="N18" i="1"/>
  <c r="P18" i="1" s="1"/>
  <c r="N19" i="1"/>
  <c r="N20" i="1"/>
  <c r="N21" i="1"/>
  <c r="N22" i="1"/>
  <c r="P22" i="1" s="1"/>
  <c r="N23" i="1"/>
  <c r="P23" i="1" s="1"/>
  <c r="N24" i="1"/>
  <c r="N25" i="1"/>
  <c r="N26" i="1"/>
  <c r="P26" i="1" s="1"/>
  <c r="N27" i="1"/>
  <c r="N28" i="1"/>
  <c r="N29" i="1"/>
  <c r="N30" i="1"/>
  <c r="N31" i="1"/>
  <c r="N32" i="1"/>
  <c r="N33" i="1"/>
  <c r="N34" i="1"/>
  <c r="P34" i="1" s="1"/>
  <c r="N35" i="1"/>
  <c r="N36" i="1"/>
  <c r="N37" i="1"/>
  <c r="P37" i="1" s="1"/>
  <c r="N38" i="1"/>
  <c r="P38" i="1" s="1"/>
  <c r="N39" i="1"/>
  <c r="N40" i="1"/>
  <c r="N41" i="1"/>
  <c r="N42" i="1"/>
  <c r="P42" i="1" s="1"/>
  <c r="N43" i="1"/>
  <c r="N44" i="1"/>
  <c r="N45" i="1"/>
  <c r="P45" i="1" s="1"/>
  <c r="N46" i="1"/>
  <c r="P46" i="1" s="1"/>
  <c r="N47" i="1"/>
  <c r="N48" i="1"/>
  <c r="N49" i="1"/>
  <c r="N50" i="1"/>
  <c r="P50" i="1" s="1"/>
  <c r="N51" i="1"/>
  <c r="N52" i="1"/>
  <c r="P52" i="1" s="1"/>
  <c r="N53" i="1"/>
  <c r="P53" i="1" s="1"/>
  <c r="N54" i="1"/>
  <c r="P54" i="1" s="1"/>
  <c r="N55" i="1"/>
  <c r="N56" i="1"/>
  <c r="N57" i="1"/>
  <c r="N58" i="1"/>
  <c r="P58" i="1" s="1"/>
  <c r="N59" i="1"/>
  <c r="N60" i="1"/>
  <c r="P60" i="1" s="1"/>
  <c r="N61" i="1"/>
  <c r="P61" i="1" s="1"/>
  <c r="N62" i="1"/>
  <c r="P62" i="1" s="1"/>
  <c r="N63" i="1"/>
  <c r="N64" i="1"/>
  <c r="N65" i="1"/>
  <c r="N66" i="1"/>
  <c r="P66" i="1" s="1"/>
  <c r="N67" i="1"/>
  <c r="N68" i="1"/>
  <c r="N69" i="1"/>
  <c r="P69" i="1" s="1"/>
  <c r="N70" i="1"/>
  <c r="P70" i="1" s="1"/>
  <c r="N71" i="1"/>
  <c r="N72" i="1"/>
  <c r="N73" i="1"/>
  <c r="N74" i="1"/>
  <c r="P74" i="1" s="1"/>
  <c r="N75" i="1"/>
  <c r="N76" i="1"/>
  <c r="N77" i="1"/>
  <c r="P77" i="1" s="1"/>
  <c r="N78" i="1"/>
  <c r="P78" i="1" s="1"/>
  <c r="N79" i="1"/>
  <c r="P79" i="1" s="1"/>
  <c r="N80" i="1"/>
  <c r="N81" i="1"/>
  <c r="N82" i="1"/>
  <c r="P82" i="1" s="1"/>
  <c r="N83" i="1"/>
  <c r="N84" i="1"/>
  <c r="N85" i="1"/>
  <c r="N86" i="1"/>
  <c r="P86" i="1" s="1"/>
  <c r="N87" i="1"/>
  <c r="P87" i="1" s="1"/>
  <c r="N88" i="1"/>
  <c r="N89" i="1"/>
  <c r="N90" i="1"/>
  <c r="P90" i="1" s="1"/>
  <c r="N91" i="1"/>
  <c r="N92" i="1"/>
  <c r="N93" i="1"/>
  <c r="P93" i="1" s="1"/>
  <c r="N94" i="1"/>
  <c r="P94" i="1" s="1"/>
  <c r="N95" i="1"/>
  <c r="N96" i="1"/>
  <c r="N97" i="1"/>
  <c r="N98" i="1"/>
  <c r="P98" i="1" s="1"/>
  <c r="N99" i="1"/>
  <c r="N100" i="1"/>
  <c r="N101" i="1"/>
  <c r="P101" i="1" s="1"/>
  <c r="N102" i="1"/>
  <c r="P102" i="1" s="1"/>
  <c r="N103" i="1"/>
  <c r="N104" i="1"/>
  <c r="N105" i="1"/>
  <c r="N106" i="1"/>
  <c r="P106" i="1" s="1"/>
  <c r="N107" i="1"/>
  <c r="N108" i="1"/>
  <c r="P108" i="1" s="1"/>
  <c r="N109" i="1"/>
  <c r="P109" i="1" s="1"/>
  <c r="N110" i="1"/>
  <c r="P110" i="1" s="1"/>
  <c r="N111" i="1"/>
  <c r="N112" i="1"/>
  <c r="N113" i="1"/>
  <c r="N114" i="1"/>
  <c r="P114" i="1" s="1"/>
  <c r="N115" i="1"/>
  <c r="N116" i="1"/>
  <c r="P116" i="1" s="1"/>
  <c r="N117" i="1"/>
  <c r="P117" i="1" s="1"/>
  <c r="P4" i="1"/>
  <c r="P8" i="1"/>
  <c r="P11" i="1"/>
  <c r="N2" i="1"/>
  <c r="P2" i="1" s="1"/>
  <c r="P7" i="1"/>
  <c r="P9" i="1"/>
  <c r="P16" i="1"/>
  <c r="P17" i="1"/>
  <c r="P19" i="1"/>
  <c r="P20" i="1"/>
  <c r="P21" i="1"/>
  <c r="P24" i="1"/>
  <c r="P25" i="1"/>
  <c r="P27" i="1"/>
  <c r="P28" i="1"/>
  <c r="P29" i="1"/>
  <c r="P30" i="1"/>
  <c r="P31" i="1"/>
  <c r="P32" i="1"/>
  <c r="P33" i="1"/>
  <c r="P35" i="1"/>
  <c r="P36" i="1"/>
  <c r="P39" i="1"/>
  <c r="P40" i="1"/>
  <c r="P41" i="1"/>
  <c r="P43" i="1"/>
  <c r="P44" i="1"/>
  <c r="P47" i="1"/>
  <c r="P48" i="1"/>
  <c r="P49" i="1"/>
  <c r="P51" i="1"/>
  <c r="P55" i="1"/>
  <c r="P56" i="1"/>
  <c r="P57" i="1"/>
  <c r="P59" i="1"/>
  <c r="P63" i="1"/>
  <c r="P64" i="1"/>
  <c r="P65" i="1"/>
  <c r="P67" i="1"/>
  <c r="P68" i="1"/>
  <c r="P71" i="1"/>
  <c r="P72" i="1"/>
  <c r="P73" i="1"/>
  <c r="P75" i="1"/>
  <c r="P76" i="1"/>
  <c r="P80" i="1"/>
  <c r="P81" i="1"/>
  <c r="P83" i="1"/>
  <c r="P84" i="1"/>
  <c r="P85" i="1"/>
  <c r="P88" i="1"/>
  <c r="P89" i="1"/>
  <c r="P91" i="1"/>
  <c r="P92" i="1"/>
  <c r="P95" i="1"/>
  <c r="P96" i="1"/>
  <c r="P97" i="1"/>
  <c r="P99" i="1"/>
  <c r="P100" i="1"/>
  <c r="P103" i="1"/>
  <c r="P104" i="1"/>
  <c r="P105" i="1"/>
  <c r="P107" i="1"/>
  <c r="P111" i="1"/>
  <c r="P112" i="1"/>
  <c r="P113" i="1"/>
  <c r="P115" i="1"/>
  <c r="M5" i="1"/>
  <c r="M6" i="1"/>
  <c r="M7" i="1"/>
  <c r="M13" i="1"/>
  <c r="M14" i="1"/>
  <c r="M15" i="1"/>
  <c r="M21" i="1"/>
  <c r="M22" i="1"/>
  <c r="M23" i="1"/>
  <c r="M29" i="1"/>
  <c r="M30" i="1"/>
  <c r="M31" i="1"/>
  <c r="M37" i="1"/>
  <c r="M38" i="1"/>
  <c r="M39" i="1"/>
  <c r="M45" i="1"/>
  <c r="M46" i="1"/>
  <c r="M47" i="1"/>
  <c r="M53" i="1"/>
  <c r="M54" i="1"/>
  <c r="M55" i="1"/>
  <c r="M61" i="1"/>
  <c r="M62" i="1"/>
  <c r="M63" i="1"/>
  <c r="M69" i="1"/>
  <c r="M70" i="1"/>
  <c r="M71" i="1"/>
  <c r="M77" i="1"/>
  <c r="M78" i="1"/>
  <c r="M79" i="1"/>
  <c r="M80" i="1"/>
  <c r="M85" i="1"/>
  <c r="M86" i="1"/>
  <c r="M87" i="1"/>
  <c r="M88" i="1"/>
  <c r="M93" i="1"/>
  <c r="M94" i="1"/>
  <c r="M95" i="1"/>
  <c r="M96" i="1"/>
  <c r="M101" i="1"/>
  <c r="M102" i="1"/>
  <c r="M103" i="1"/>
  <c r="M104" i="1"/>
  <c r="M109" i="1"/>
  <c r="M110" i="1"/>
  <c r="M111" i="1"/>
  <c r="M112" i="1"/>
  <c r="M117" i="1"/>
  <c r="M2" i="1"/>
  <c r="K3" i="1"/>
  <c r="M3" i="1" s="1"/>
  <c r="K4" i="1"/>
  <c r="M4" i="1" s="1"/>
  <c r="K5" i="1"/>
  <c r="K6" i="1"/>
  <c r="K7" i="1"/>
  <c r="K8" i="1"/>
  <c r="M8" i="1" s="1"/>
  <c r="K9" i="1"/>
  <c r="M9" i="1" s="1"/>
  <c r="K10" i="1"/>
  <c r="M10" i="1" s="1"/>
  <c r="K11" i="1"/>
  <c r="M11" i="1" s="1"/>
  <c r="K12" i="1"/>
  <c r="M12" i="1" s="1"/>
  <c r="K13" i="1"/>
  <c r="K14" i="1"/>
  <c r="K15" i="1"/>
  <c r="K16" i="1"/>
  <c r="M16" i="1" s="1"/>
  <c r="K17" i="1"/>
  <c r="M17" i="1" s="1"/>
  <c r="K18" i="1"/>
  <c r="M18" i="1" s="1"/>
  <c r="K19" i="1"/>
  <c r="M19" i="1" s="1"/>
  <c r="K20" i="1"/>
  <c r="M20" i="1" s="1"/>
  <c r="K21" i="1"/>
  <c r="K22" i="1"/>
  <c r="K23" i="1"/>
  <c r="K24" i="1"/>
  <c r="M24" i="1" s="1"/>
  <c r="K25" i="1"/>
  <c r="M25" i="1" s="1"/>
  <c r="K26" i="1"/>
  <c r="M26" i="1" s="1"/>
  <c r="K27" i="1"/>
  <c r="M27" i="1" s="1"/>
  <c r="K28" i="1"/>
  <c r="M28" i="1" s="1"/>
  <c r="K29" i="1"/>
  <c r="K30" i="1"/>
  <c r="K31" i="1"/>
  <c r="K32" i="1"/>
  <c r="M32" i="1" s="1"/>
  <c r="K33" i="1"/>
  <c r="M33" i="1" s="1"/>
  <c r="K34" i="1"/>
  <c r="M34" i="1" s="1"/>
  <c r="K35" i="1"/>
  <c r="M35" i="1" s="1"/>
  <c r="K36" i="1"/>
  <c r="M36" i="1" s="1"/>
  <c r="K37" i="1"/>
  <c r="K38" i="1"/>
  <c r="K39" i="1"/>
  <c r="K40" i="1"/>
  <c r="M40" i="1" s="1"/>
  <c r="K41" i="1"/>
  <c r="M41" i="1" s="1"/>
  <c r="K42" i="1"/>
  <c r="M42" i="1" s="1"/>
  <c r="K43" i="1"/>
  <c r="M43" i="1" s="1"/>
  <c r="K44" i="1"/>
  <c r="M44" i="1" s="1"/>
  <c r="K45" i="1"/>
  <c r="K46" i="1"/>
  <c r="K47" i="1"/>
  <c r="K48" i="1"/>
  <c r="M48" i="1" s="1"/>
  <c r="K49" i="1"/>
  <c r="M49" i="1" s="1"/>
  <c r="K50" i="1"/>
  <c r="M50" i="1" s="1"/>
  <c r="K51" i="1"/>
  <c r="M51" i="1" s="1"/>
  <c r="K52" i="1"/>
  <c r="M52" i="1" s="1"/>
  <c r="K53" i="1"/>
  <c r="K54" i="1"/>
  <c r="K55" i="1"/>
  <c r="K56" i="1"/>
  <c r="M56" i="1" s="1"/>
  <c r="K57" i="1"/>
  <c r="M57" i="1" s="1"/>
  <c r="K58" i="1"/>
  <c r="M58" i="1" s="1"/>
  <c r="K59" i="1"/>
  <c r="M59" i="1" s="1"/>
  <c r="K60" i="1"/>
  <c r="M60" i="1" s="1"/>
  <c r="K61" i="1"/>
  <c r="K62" i="1"/>
  <c r="K63" i="1"/>
  <c r="K64" i="1"/>
  <c r="M64" i="1" s="1"/>
  <c r="K65" i="1"/>
  <c r="M65" i="1" s="1"/>
  <c r="K66" i="1"/>
  <c r="M66" i="1" s="1"/>
  <c r="K67" i="1"/>
  <c r="M67" i="1" s="1"/>
  <c r="K68" i="1"/>
  <c r="M68" i="1" s="1"/>
  <c r="K69" i="1"/>
  <c r="K70" i="1"/>
  <c r="K71" i="1"/>
  <c r="K72" i="1"/>
  <c r="M72" i="1" s="1"/>
  <c r="K73" i="1"/>
  <c r="M73" i="1" s="1"/>
  <c r="K74" i="1"/>
  <c r="M74" i="1" s="1"/>
  <c r="K75" i="1"/>
  <c r="M75" i="1" s="1"/>
  <c r="K76" i="1"/>
  <c r="M76" i="1" s="1"/>
  <c r="K77" i="1"/>
  <c r="K78" i="1"/>
  <c r="K79" i="1"/>
  <c r="K80" i="1"/>
  <c r="K81" i="1"/>
  <c r="M81" i="1" s="1"/>
  <c r="K82" i="1"/>
  <c r="M82" i="1" s="1"/>
  <c r="K83" i="1"/>
  <c r="M83" i="1" s="1"/>
  <c r="K84" i="1"/>
  <c r="M84" i="1" s="1"/>
  <c r="K85" i="1"/>
  <c r="K86" i="1"/>
  <c r="K87" i="1"/>
  <c r="K88" i="1"/>
  <c r="K89" i="1"/>
  <c r="M89" i="1" s="1"/>
  <c r="K90" i="1"/>
  <c r="M90" i="1" s="1"/>
  <c r="K91" i="1"/>
  <c r="M91" i="1" s="1"/>
  <c r="K92" i="1"/>
  <c r="M92" i="1" s="1"/>
  <c r="K93" i="1"/>
  <c r="K94" i="1"/>
  <c r="K95" i="1"/>
  <c r="K96" i="1"/>
  <c r="K97" i="1"/>
  <c r="M97" i="1" s="1"/>
  <c r="K98" i="1"/>
  <c r="M98" i="1" s="1"/>
  <c r="K99" i="1"/>
  <c r="M99" i="1" s="1"/>
  <c r="K100" i="1"/>
  <c r="M100" i="1" s="1"/>
  <c r="K101" i="1"/>
  <c r="K102" i="1"/>
  <c r="K103" i="1"/>
  <c r="K104" i="1"/>
  <c r="K105" i="1"/>
  <c r="M105" i="1" s="1"/>
  <c r="K106" i="1"/>
  <c r="M106" i="1" s="1"/>
  <c r="K107" i="1"/>
  <c r="M107" i="1" s="1"/>
  <c r="K108" i="1"/>
  <c r="M108" i="1" s="1"/>
  <c r="K109" i="1"/>
  <c r="K110" i="1"/>
  <c r="K111" i="1"/>
  <c r="K112" i="1"/>
  <c r="K113" i="1"/>
  <c r="M113" i="1" s="1"/>
  <c r="K114" i="1"/>
  <c r="M114" i="1" s="1"/>
  <c r="K115" i="1"/>
  <c r="M115" i="1" s="1"/>
  <c r="K116" i="1"/>
  <c r="M116" i="1" s="1"/>
  <c r="K117" i="1"/>
  <c r="K2" i="1"/>
  <c r="V2" i="1" l="1"/>
</calcChain>
</file>

<file path=xl/sharedStrings.xml><?xml version="1.0" encoding="utf-8"?>
<sst xmlns="http://schemas.openxmlformats.org/spreadsheetml/2006/main" count="933" uniqueCount="299">
  <si>
    <t>Driver_ID</t>
  </si>
  <si>
    <t>Vehicle_ID</t>
  </si>
  <si>
    <t>Vehicle Type</t>
  </si>
  <si>
    <t>Fuel_Type</t>
  </si>
  <si>
    <t>Tank Capacity</t>
  </si>
  <si>
    <t>Standard Consumption/100km</t>
  </si>
  <si>
    <t>Actual Consumption Rate/100km</t>
  </si>
  <si>
    <t>Consumption Rate/km</t>
  </si>
  <si>
    <t>Actual Load</t>
  </si>
  <si>
    <t>Max Capacity</t>
  </si>
  <si>
    <t>Load Utilisation</t>
  </si>
  <si>
    <t>k (load sensitivity)</t>
  </si>
  <si>
    <t>Load Factor</t>
  </si>
  <si>
    <t>ATT (In hours)</t>
  </si>
  <si>
    <t>FFTT (In hours)</t>
  </si>
  <si>
    <t>Traffic Factor</t>
  </si>
  <si>
    <t>Point A (Take off)</t>
  </si>
  <si>
    <t>Point B (Destination 1)</t>
  </si>
  <si>
    <t>Point C (Destination 2)</t>
  </si>
  <si>
    <t>Point A</t>
  </si>
  <si>
    <t>Distance in KM</t>
  </si>
  <si>
    <t>Estimated Liters</t>
  </si>
  <si>
    <t>DRV712</t>
  </si>
  <si>
    <t>AAA 102 AB</t>
  </si>
  <si>
    <t>Truck</t>
  </si>
  <si>
    <t>Diesel</t>
  </si>
  <si>
    <t>Agege, Lagos</t>
  </si>
  <si>
    <t>Uyo, Awka Ibom</t>
  </si>
  <si>
    <t>Bida, Nigeria</t>
  </si>
  <si>
    <t>DRV713</t>
  </si>
  <si>
    <t>AAB 215 CD</t>
  </si>
  <si>
    <t>Bida</t>
  </si>
  <si>
    <t>Wurno, Sokoto</t>
  </si>
  <si>
    <t>DRV714</t>
  </si>
  <si>
    <t>AAC 398 EF</t>
  </si>
  <si>
    <t>Kano</t>
  </si>
  <si>
    <t>Benin City</t>
  </si>
  <si>
    <t>DRV715</t>
  </si>
  <si>
    <t>AAD 441 GH</t>
  </si>
  <si>
    <t>Ibadan</t>
  </si>
  <si>
    <t>Enugu</t>
  </si>
  <si>
    <t>DRV716</t>
  </si>
  <si>
    <t>AAE 523 JK</t>
  </si>
  <si>
    <t>Jos</t>
  </si>
  <si>
    <t>Yola</t>
  </si>
  <si>
    <t>DRV717</t>
  </si>
  <si>
    <t>AAF 678 LM</t>
  </si>
  <si>
    <t>Aba</t>
  </si>
  <si>
    <t>Port Harcourt</t>
  </si>
  <si>
    <t>DRV718</t>
  </si>
  <si>
    <t>AAG 709 NP</t>
  </si>
  <si>
    <t>Makurdi</t>
  </si>
  <si>
    <t>DRV719</t>
  </si>
  <si>
    <t>AAH 812 QR</t>
  </si>
  <si>
    <t>Abuja</t>
  </si>
  <si>
    <t>DRV720</t>
  </si>
  <si>
    <t>AAI 934 ST</t>
  </si>
  <si>
    <t>Petrol</t>
  </si>
  <si>
    <t>Warri</t>
  </si>
  <si>
    <t>DRV721</t>
  </si>
  <si>
    <t>AAJ 145 UV</t>
  </si>
  <si>
    <t>DRV722</t>
  </si>
  <si>
    <t>AAK 276 WX</t>
  </si>
  <si>
    <t>Ilorin</t>
  </si>
  <si>
    <t>Sokoto</t>
  </si>
  <si>
    <t>DRV723</t>
  </si>
  <si>
    <t>AAL 389 YZ</t>
  </si>
  <si>
    <t>Kaduna</t>
  </si>
  <si>
    <t>DRV724</t>
  </si>
  <si>
    <t>AAM 410 AA</t>
  </si>
  <si>
    <t>Owerri</t>
  </si>
  <si>
    <t>DRV725</t>
  </si>
  <si>
    <t>AAN 522 BB</t>
  </si>
  <si>
    <t>Balyesa</t>
  </si>
  <si>
    <t>DRV726</t>
  </si>
  <si>
    <t>AAO 633 CC</t>
  </si>
  <si>
    <t>DRV727</t>
  </si>
  <si>
    <t>AAP 744 DD</t>
  </si>
  <si>
    <t>Minna</t>
  </si>
  <si>
    <t>Akure</t>
  </si>
  <si>
    <t>DRV728</t>
  </si>
  <si>
    <t>AAQ 855 EE</t>
  </si>
  <si>
    <t>Gusau</t>
  </si>
  <si>
    <t>Calabar</t>
  </si>
  <si>
    <t>DRV729</t>
  </si>
  <si>
    <t>AAR 966 FF</t>
  </si>
  <si>
    <t>DRV730</t>
  </si>
  <si>
    <t>AAS 177 GG</t>
  </si>
  <si>
    <t>Zaria</t>
  </si>
  <si>
    <t>DRV731</t>
  </si>
  <si>
    <t>AAT 288 HH</t>
  </si>
  <si>
    <t>Onitsha</t>
  </si>
  <si>
    <t>DRV732</t>
  </si>
  <si>
    <t>AAU 399 JJ</t>
  </si>
  <si>
    <t>Birnin Kebbi</t>
  </si>
  <si>
    <t>Sapele</t>
  </si>
  <si>
    <t>DRV733</t>
  </si>
  <si>
    <t>AAV 401 KK</t>
  </si>
  <si>
    <t>Ado-Ekiti</t>
  </si>
  <si>
    <t>DRV734</t>
  </si>
  <si>
    <t>AAW 512 LL</t>
  </si>
  <si>
    <t>Asaba</t>
  </si>
  <si>
    <t>DRV735</t>
  </si>
  <si>
    <t>AAX 623 MM</t>
  </si>
  <si>
    <t>Lafia</t>
  </si>
  <si>
    <t>Ogbomosho</t>
  </si>
  <si>
    <t>DRV736</t>
  </si>
  <si>
    <t>AAY 734 NN</t>
  </si>
  <si>
    <t>DRV737</t>
  </si>
  <si>
    <t>AAZ 845 PP</t>
  </si>
  <si>
    <t>DRV738</t>
  </si>
  <si>
    <t>ABA 956 QQ</t>
  </si>
  <si>
    <t>DRV739</t>
  </si>
  <si>
    <t>ABB 167 RR</t>
  </si>
  <si>
    <t>Lokoja</t>
  </si>
  <si>
    <t>DRV740</t>
  </si>
  <si>
    <t>ABC 278 SS</t>
  </si>
  <si>
    <t>DRV741</t>
  </si>
  <si>
    <t>ABD 389 TT</t>
  </si>
  <si>
    <t>DRV742</t>
  </si>
  <si>
    <t>ABE 490 UU</t>
  </si>
  <si>
    <t>Maiduguri</t>
  </si>
  <si>
    <t>DRV743</t>
  </si>
  <si>
    <t>ABF 501 VV</t>
  </si>
  <si>
    <t>Eket</t>
  </si>
  <si>
    <t>DRV744</t>
  </si>
  <si>
    <t>ABG 612 WW</t>
  </si>
  <si>
    <t>DRV745</t>
  </si>
  <si>
    <t>ABH 723 XX</t>
  </si>
  <si>
    <t>DRV746</t>
  </si>
  <si>
    <t>ABI 834 YY</t>
  </si>
  <si>
    <t>DRV747</t>
  </si>
  <si>
    <t>ABJ 945 ZZ</t>
  </si>
  <si>
    <t>DRV748</t>
  </si>
  <si>
    <t>ABK 156 AB</t>
  </si>
  <si>
    <t>DRV749</t>
  </si>
  <si>
    <t>ABL 267 CD</t>
  </si>
  <si>
    <t>DRV750</t>
  </si>
  <si>
    <t>ABM 378 EF</t>
  </si>
  <si>
    <t>DRV751</t>
  </si>
  <si>
    <t>ABN 489 GH</t>
  </si>
  <si>
    <t>DRV752</t>
  </si>
  <si>
    <t>ABO 590 JK</t>
  </si>
  <si>
    <t>DRV753</t>
  </si>
  <si>
    <t>ABP 601 LM</t>
  </si>
  <si>
    <t>DRV754</t>
  </si>
  <si>
    <t>ABQ 712 NP</t>
  </si>
  <si>
    <t>DRV755</t>
  </si>
  <si>
    <t>ABR 823 QR</t>
  </si>
  <si>
    <t>DRV756</t>
  </si>
  <si>
    <t>ABS 934 ST</t>
  </si>
  <si>
    <t>DRV757</t>
  </si>
  <si>
    <t>ABT 145 UV</t>
  </si>
  <si>
    <t>DRV758</t>
  </si>
  <si>
    <t>ABU 256 WX</t>
  </si>
  <si>
    <t>DRV759</t>
  </si>
  <si>
    <t>ABV 367 YZ</t>
  </si>
  <si>
    <t>DRV760</t>
  </si>
  <si>
    <t>ABW 478 AA</t>
  </si>
  <si>
    <t>Gusau, Zamfara</t>
  </si>
  <si>
    <t>DRV761</t>
  </si>
  <si>
    <t>ABX 589 BB</t>
  </si>
  <si>
    <t>Dutse</t>
  </si>
  <si>
    <t>DRV762</t>
  </si>
  <si>
    <t>ABY 690 CC</t>
  </si>
  <si>
    <t>DRV763</t>
  </si>
  <si>
    <t>ABZ 701 DD</t>
  </si>
  <si>
    <t>DRV764</t>
  </si>
  <si>
    <t>ACA 812 EE</t>
  </si>
  <si>
    <t>DRV765</t>
  </si>
  <si>
    <t>ACB 923 FF</t>
  </si>
  <si>
    <t>DRV766</t>
  </si>
  <si>
    <t>ACC 134 GG</t>
  </si>
  <si>
    <t>DRV767</t>
  </si>
  <si>
    <t>ACD 245 HH</t>
  </si>
  <si>
    <t>DRV768</t>
  </si>
  <si>
    <t>ACE 356 JJ</t>
  </si>
  <si>
    <t>DRV769</t>
  </si>
  <si>
    <t>ACF 467 KK</t>
  </si>
  <si>
    <t>DRV770</t>
  </si>
  <si>
    <t>ACG 578 LL</t>
  </si>
  <si>
    <t>DRV771</t>
  </si>
  <si>
    <t>ACH 689 MM</t>
  </si>
  <si>
    <t>DRV772</t>
  </si>
  <si>
    <t>ACI 790 NN</t>
  </si>
  <si>
    <t>DRV773</t>
  </si>
  <si>
    <t>ACJ 801 PP</t>
  </si>
  <si>
    <t>DRV774</t>
  </si>
  <si>
    <t>ACK 912 QQ</t>
  </si>
  <si>
    <t>DRV775</t>
  </si>
  <si>
    <t>ACL 123 RR</t>
  </si>
  <si>
    <t>DRV776</t>
  </si>
  <si>
    <t>ACM 234 SS</t>
  </si>
  <si>
    <t>DRV777</t>
  </si>
  <si>
    <t>ACN 345 TT</t>
  </si>
  <si>
    <t>DRV778</t>
  </si>
  <si>
    <t>ACO 456 UU</t>
  </si>
  <si>
    <t>DRV779</t>
  </si>
  <si>
    <t>ACP 567 VV</t>
  </si>
  <si>
    <t>DRV780</t>
  </si>
  <si>
    <t>ACQ 678 WW</t>
  </si>
  <si>
    <t>DRV781</t>
  </si>
  <si>
    <t>ACR 789 XX</t>
  </si>
  <si>
    <t>DRV782</t>
  </si>
  <si>
    <t>ACS 890 YY</t>
  </si>
  <si>
    <t>DRV783</t>
  </si>
  <si>
    <t>ACT 901 ZZ</t>
  </si>
  <si>
    <t>DRV784</t>
  </si>
  <si>
    <t>ACU 112 AB</t>
  </si>
  <si>
    <t>DRV785</t>
  </si>
  <si>
    <t>ACV 223 CD</t>
  </si>
  <si>
    <t>DRV786</t>
  </si>
  <si>
    <t>ACW 334 EF</t>
  </si>
  <si>
    <t>DRV787</t>
  </si>
  <si>
    <t>ACX 445 GH</t>
  </si>
  <si>
    <t>DRV788</t>
  </si>
  <si>
    <t>ACY 556 JK</t>
  </si>
  <si>
    <t>DRV789</t>
  </si>
  <si>
    <t>ACZ 667 LM</t>
  </si>
  <si>
    <t>DRV790</t>
  </si>
  <si>
    <t>ADA 778 NP</t>
  </si>
  <si>
    <t>DRV791</t>
  </si>
  <si>
    <t>ADB 889 QR</t>
  </si>
  <si>
    <t>DRV792</t>
  </si>
  <si>
    <t>ADC 990 ST</t>
  </si>
  <si>
    <t>DRV793</t>
  </si>
  <si>
    <t>ADD 101 UV</t>
  </si>
  <si>
    <t>DRV794</t>
  </si>
  <si>
    <t>ADE 212 WX</t>
  </si>
  <si>
    <t>DRV795</t>
  </si>
  <si>
    <t>ADF 323 YZ</t>
  </si>
  <si>
    <t>DRV796</t>
  </si>
  <si>
    <t>ADG 434 AA</t>
  </si>
  <si>
    <t>DRV797</t>
  </si>
  <si>
    <t>ADH 545 BB</t>
  </si>
  <si>
    <t>DRV798</t>
  </si>
  <si>
    <t>ADI 656 CC</t>
  </si>
  <si>
    <t>DRV799</t>
  </si>
  <si>
    <t>ADJ 767 DD</t>
  </si>
  <si>
    <t>DRV800</t>
  </si>
  <si>
    <t>ADK 878 EE</t>
  </si>
  <si>
    <t>DRV801</t>
  </si>
  <si>
    <t>ADL 989 FF</t>
  </si>
  <si>
    <t>DRV802</t>
  </si>
  <si>
    <t>ADM 190 GG</t>
  </si>
  <si>
    <t>DRV803</t>
  </si>
  <si>
    <t>ADN 281 HH</t>
  </si>
  <si>
    <t>DRV804</t>
  </si>
  <si>
    <t>ADO 372 JJ</t>
  </si>
  <si>
    <t>DRV805</t>
  </si>
  <si>
    <t>ADP 463 KK</t>
  </si>
  <si>
    <t>DRV806</t>
  </si>
  <si>
    <t>ADQ 554 LL</t>
  </si>
  <si>
    <t>DRV807</t>
  </si>
  <si>
    <t>ADR 645 MM</t>
  </si>
  <si>
    <t>DRV808</t>
  </si>
  <si>
    <t>ADS 736 NN</t>
  </si>
  <si>
    <t>DRV809</t>
  </si>
  <si>
    <t>ADT 827 PP</t>
  </si>
  <si>
    <t>DRV810</t>
  </si>
  <si>
    <t>ADU 918 QQ</t>
  </si>
  <si>
    <t>DRV811</t>
  </si>
  <si>
    <t>ADV 129 RR</t>
  </si>
  <si>
    <t>DRV812</t>
  </si>
  <si>
    <t>ADW 230 SS</t>
  </si>
  <si>
    <t>DRV813</t>
  </si>
  <si>
    <t>ADX 341 TT</t>
  </si>
  <si>
    <t>DRV814</t>
  </si>
  <si>
    <t>ADY 452 UU</t>
  </si>
  <si>
    <t>DRV815</t>
  </si>
  <si>
    <t>ADZ 563 VV</t>
  </si>
  <si>
    <t>DRV816</t>
  </si>
  <si>
    <t>AEA 674 WW</t>
  </si>
  <si>
    <t>DRV817</t>
  </si>
  <si>
    <t>AEB 785 XX</t>
  </si>
  <si>
    <t>DRV818</t>
  </si>
  <si>
    <t>AEC 896 YY</t>
  </si>
  <si>
    <t>DRV819</t>
  </si>
  <si>
    <t>AED 907 ZZ</t>
  </si>
  <si>
    <t>DRV820</t>
  </si>
  <si>
    <t>AEE 118 AB</t>
  </si>
  <si>
    <t>DRV821</t>
  </si>
  <si>
    <t>AEF 229 CD</t>
  </si>
  <si>
    <t>DRV822</t>
  </si>
  <si>
    <t>AEG 330 EF</t>
  </si>
  <si>
    <t>DRV823</t>
  </si>
  <si>
    <t>AEH 441 GH</t>
  </si>
  <si>
    <t>DRV824</t>
  </si>
  <si>
    <t>AEI 552 JK</t>
  </si>
  <si>
    <t>DRV825</t>
  </si>
  <si>
    <t>AEJ 663 LM</t>
  </si>
  <si>
    <t>DRV826</t>
  </si>
  <si>
    <t>AEK 774 NP</t>
  </si>
  <si>
    <t>DRV827</t>
  </si>
  <si>
    <t>AEL 885 QR</t>
  </si>
  <si>
    <t>Where:</t>
  </si>
  <si>
    <t>Traffic Factor = Actual Travel Time (ATT)/Free Flow Travel Time (FFTT)</t>
  </si>
  <si>
    <t>Load Utilisation = Actual Load/Max Capacity</t>
  </si>
  <si>
    <t>k = Load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</si>
</sst>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F7F67-CBB1-4194-AA8A-4C6DD852B8C3}" name="Table1" displayName="Table1" ref="A1:V117" totalsRowShown="0">
  <tableColumns count="22">
    <tableColumn id="1" xr3:uid="{61FB793A-C3EB-4D89-8309-D11EC588093B}" name="Driver_ID"/>
    <tableColumn id="2" xr3:uid="{19E6DD92-1C1F-40C6-9DB7-87D35584B3C7}" name="Vehicle_ID"/>
    <tableColumn id="3" xr3:uid="{DB315247-A1CA-4D8D-9C1F-29011EE94A70}" name="Vehicle Type"/>
    <tableColumn id="4" xr3:uid="{8700EACD-9ECE-42A1-A308-49AB4CACCBEE}" name="Fuel_Type"/>
    <tableColumn id="5" xr3:uid="{FDC2A8BE-B957-4949-8031-2789DFD40888}" name="Tank Capacity"/>
    <tableColumn id="6" xr3:uid="{4673D0C7-87FF-4491-BB4B-FA01C5028D75}" name="Standard Consumption/100km"/>
    <tableColumn id="7" xr3:uid="{9D352E9E-B36F-4700-941C-E12B24B91656}" name="Actual Consumption Rate/100km"/>
    <tableColumn id="8" xr3:uid="{9E6B8491-4AA6-4000-BA09-FABB62499F83}" name="Consumption Rate/km" dataDxfId="1"/>
    <tableColumn id="9" xr3:uid="{5D51BAD2-1DF2-42A6-9CC3-9C95C9758A3A}" name="Actual Load"/>
    <tableColumn id="10" xr3:uid="{C12A7CFD-2447-4950-9723-9624E94073BB}" name="Max Capacity"/>
    <tableColumn id="11" xr3:uid="{627B318C-902F-4854-B147-FE891BD587B1}" name="Load Utilisation" dataDxfId="5">
      <calculatedColumnFormula>I2/J2</calculatedColumnFormula>
    </tableColumn>
    <tableColumn id="12" xr3:uid="{BB3CA20C-28E5-4730-B86F-1BC1861A006D}" name="k (load sensitivity)"/>
    <tableColumn id="13" xr3:uid="{458657A5-3CF0-438C-8CE7-AB69DDD27453}" name="Load Factor" dataDxfId="4">
      <calculatedColumnFormula>1+L2*K2</calculatedColumnFormula>
    </tableColumn>
    <tableColumn id="14" xr3:uid="{BEE7DCAD-3807-4525-BA05-24E7ADF67840}" name="ATT (In hours)" dataDxfId="3">
      <calculatedColumnFormula>O2*1.5</calculatedColumnFormula>
    </tableColumn>
    <tableColumn id="15" xr3:uid="{A6377D93-1E25-4737-B928-508607713EA8}" name="FFTT (In hours)" dataDxfId="2"/>
    <tableColumn id="16" xr3:uid="{81B9963E-D163-483D-AC33-213177309548}" name="Traffic Factor">
      <calculatedColumnFormula>N2/O2</calculatedColumnFormula>
    </tableColumn>
    <tableColumn id="17" xr3:uid="{C990DF88-5484-420B-AB68-A67B129F5463}" name="Point A (Take off)"/>
    <tableColumn id="18" xr3:uid="{7BDDEEDD-247D-44A7-AB9D-56A9508C9096}" name="Point B (Destination 1)"/>
    <tableColumn id="19" xr3:uid="{DC886099-9B4A-4CF8-B4A3-63E6F1289E56}" name="Point C (Destination 2)"/>
    <tableColumn id="20" xr3:uid="{B70761F2-298B-4F2D-AC90-DCD60EF8920F}" name="Point A"/>
    <tableColumn id="21" xr3:uid="{DB26BE50-7E22-4D44-8EDF-0B13F38B03A8}" name="Distance in KM"/>
    <tableColumn id="22" xr3:uid="{53497EDC-63E7-425A-88CA-1A242D331AE0}" name="Estimated Liters">
      <calculatedColumnFormula>U2*H2*P2*M2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A1428-6295-46A4-AD25-705B58E9B9CF}" name="Table2" displayName="Table2" ref="D12:D15" totalsRowShown="0" headerRowDxfId="0">
  <autoFilter ref="D12:D15" xr:uid="{493A1428-6295-46A4-AD25-705B58E9B9CF}"/>
  <tableColumns count="1">
    <tableColumn id="1" xr3:uid="{ADC52A2D-27EF-4614-B80C-5557F8218AD8}" name="Where: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CB6F-FFBD-401A-BC82-57745FE56975}">
  <dimension ref="A1:V117"/>
  <sheetViews>
    <sheetView tabSelected="1" topLeftCell="M1" zoomScale="65" workbookViewId="0">
      <selection activeCell="R21" sqref="R21"/>
    </sheetView>
  </sheetViews>
  <sheetFormatPr defaultRowHeight="15" x14ac:dyDescent="0.25"/>
  <cols>
    <col min="1" max="1" width="12.85546875" customWidth="1"/>
    <col min="2" max="2" width="13.7109375" customWidth="1"/>
    <col min="3" max="3" width="15.42578125" customWidth="1"/>
    <col min="4" max="4" width="13.140625" customWidth="1"/>
    <col min="5" max="5" width="16.5703125" customWidth="1"/>
    <col min="6" max="6" width="31.28515625" customWidth="1"/>
    <col min="7" max="7" width="34.140625" customWidth="1"/>
    <col min="8" max="8" width="24.140625" style="2" customWidth="1"/>
    <col min="9" max="9" width="14.42578125" customWidth="1"/>
    <col min="10" max="10" width="16" customWidth="1"/>
    <col min="11" max="11" width="18" style="1" customWidth="1"/>
    <col min="12" max="12" width="20.42578125" customWidth="1"/>
    <col min="13" max="13" width="14.42578125" style="1" customWidth="1"/>
    <col min="14" max="14" width="17.42578125" customWidth="1"/>
    <col min="15" max="15" width="18.42578125" style="1" customWidth="1"/>
    <col min="16" max="16" width="15.7109375" customWidth="1"/>
    <col min="17" max="17" width="19.85546875" customWidth="1"/>
    <col min="18" max="19" width="24.5703125" customWidth="1"/>
    <col min="20" max="20" width="10.140625" customWidth="1"/>
    <col min="21" max="21" width="18" customWidth="1"/>
    <col min="22" max="22" width="18.85546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s="3" t="s">
        <v>20</v>
      </c>
      <c r="V1" s="3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>
        <v>250</v>
      </c>
      <c r="F2">
        <v>30</v>
      </c>
      <c r="G2">
        <v>30</v>
      </c>
      <c r="H2" s="2">
        <v>0.3</v>
      </c>
      <c r="I2">
        <v>17</v>
      </c>
      <c r="J2">
        <v>18</v>
      </c>
      <c r="K2" s="1">
        <f>I2/J2</f>
        <v>0.94444444444444442</v>
      </c>
      <c r="L2">
        <v>0.2</v>
      </c>
      <c r="M2" s="1">
        <f>1+L2*K2</f>
        <v>1.1888888888888889</v>
      </c>
      <c r="N2" s="1">
        <f>O2*1.5</f>
        <v>40.5</v>
      </c>
      <c r="O2" s="1">
        <v>27</v>
      </c>
      <c r="P2">
        <f>N2/O2</f>
        <v>1.5</v>
      </c>
      <c r="Q2" t="s">
        <v>26</v>
      </c>
      <c r="R2" t="s">
        <v>27</v>
      </c>
      <c r="S2" t="s">
        <v>28</v>
      </c>
      <c r="T2" t="s">
        <v>26</v>
      </c>
      <c r="U2">
        <v>1345</v>
      </c>
      <c r="V2">
        <f>U2*H2*P2*M2</f>
        <v>719.57500000000005</v>
      </c>
    </row>
    <row r="3" spans="1:22" x14ac:dyDescent="0.25">
      <c r="A3" t="s">
        <v>29</v>
      </c>
      <c r="B3" t="s">
        <v>30</v>
      </c>
      <c r="C3" t="s">
        <v>24</v>
      </c>
      <c r="D3" t="s">
        <v>25</v>
      </c>
      <c r="E3">
        <v>250</v>
      </c>
      <c r="F3">
        <v>30</v>
      </c>
      <c r="G3">
        <v>30</v>
      </c>
      <c r="H3" s="2">
        <v>0.3</v>
      </c>
      <c r="I3">
        <v>17</v>
      </c>
      <c r="J3">
        <v>18</v>
      </c>
      <c r="K3" s="1">
        <f t="shared" ref="K3:K66" si="0">I3/J3</f>
        <v>0.94444444444444442</v>
      </c>
      <c r="L3">
        <v>0.2</v>
      </c>
      <c r="M3" s="1">
        <f t="shared" ref="M3:M66" si="1">1+L3*K3</f>
        <v>1.1888888888888889</v>
      </c>
      <c r="N3" s="1">
        <f t="shared" ref="N3:N66" si="2">O3*1.5</f>
        <v>40.244999999999997</v>
      </c>
      <c r="O3" s="1">
        <v>26.83</v>
      </c>
      <c r="P3">
        <f t="shared" ref="P3:P66" si="3">N3/O3</f>
        <v>1.5</v>
      </c>
      <c r="Q3" t="s">
        <v>26</v>
      </c>
      <c r="R3" t="s">
        <v>31</v>
      </c>
      <c r="S3" t="s">
        <v>32</v>
      </c>
      <c r="T3" t="s">
        <v>26</v>
      </c>
      <c r="U3">
        <v>1350</v>
      </c>
      <c r="V3">
        <f t="shared" ref="V3:V66" si="4">U3*H3*P3*M3</f>
        <v>722.25</v>
      </c>
    </row>
    <row r="4" spans="1:22" x14ac:dyDescent="0.25">
      <c r="A4" t="s">
        <v>33</v>
      </c>
      <c r="B4" t="s">
        <v>34</v>
      </c>
      <c r="C4" t="s">
        <v>24</v>
      </c>
      <c r="D4" t="s">
        <v>25</v>
      </c>
      <c r="E4">
        <v>250</v>
      </c>
      <c r="F4">
        <v>30</v>
      </c>
      <c r="G4">
        <v>30</v>
      </c>
      <c r="H4" s="2">
        <v>0.3</v>
      </c>
      <c r="I4">
        <v>16</v>
      </c>
      <c r="J4">
        <v>18</v>
      </c>
      <c r="K4" s="1">
        <f t="shared" si="0"/>
        <v>0.88888888888888884</v>
      </c>
      <c r="L4">
        <v>0.2</v>
      </c>
      <c r="M4" s="1">
        <f t="shared" si="1"/>
        <v>1.1777777777777778</v>
      </c>
      <c r="N4" s="1">
        <f t="shared" si="2"/>
        <v>49.994999999999997</v>
      </c>
      <c r="O4" s="1">
        <v>33.33</v>
      </c>
      <c r="P4">
        <f t="shared" si="3"/>
        <v>1.5</v>
      </c>
      <c r="Q4" t="s">
        <v>26</v>
      </c>
      <c r="R4" t="s">
        <v>35</v>
      </c>
      <c r="S4" t="s">
        <v>36</v>
      </c>
      <c r="T4" t="s">
        <v>26</v>
      </c>
      <c r="U4">
        <v>1355</v>
      </c>
      <c r="V4">
        <f t="shared" si="4"/>
        <v>718.15</v>
      </c>
    </row>
    <row r="5" spans="1:22" x14ac:dyDescent="0.25">
      <c r="A5" t="s">
        <v>37</v>
      </c>
      <c r="B5" t="s">
        <v>38</v>
      </c>
      <c r="C5" t="s">
        <v>24</v>
      </c>
      <c r="D5" t="s">
        <v>25</v>
      </c>
      <c r="E5">
        <v>250</v>
      </c>
      <c r="F5">
        <v>30</v>
      </c>
      <c r="G5">
        <v>30</v>
      </c>
      <c r="H5" s="2">
        <v>0.3</v>
      </c>
      <c r="I5">
        <v>16</v>
      </c>
      <c r="J5">
        <v>18</v>
      </c>
      <c r="K5" s="1">
        <f t="shared" si="0"/>
        <v>0.88888888888888884</v>
      </c>
      <c r="L5">
        <v>0.2</v>
      </c>
      <c r="M5" s="1">
        <f t="shared" si="1"/>
        <v>1.1777777777777778</v>
      </c>
      <c r="N5" s="1">
        <f t="shared" si="2"/>
        <v>33.795000000000002</v>
      </c>
      <c r="O5" s="1">
        <v>22.53</v>
      </c>
      <c r="P5">
        <f t="shared" si="3"/>
        <v>1.5</v>
      </c>
      <c r="Q5" t="s">
        <v>26</v>
      </c>
      <c r="R5" t="s">
        <v>39</v>
      </c>
      <c r="S5" t="s">
        <v>40</v>
      </c>
      <c r="T5" t="s">
        <v>26</v>
      </c>
      <c r="U5">
        <v>1360</v>
      </c>
      <c r="V5">
        <f t="shared" si="4"/>
        <v>720.80000000000007</v>
      </c>
    </row>
    <row r="6" spans="1:22" x14ac:dyDescent="0.25">
      <c r="A6" t="s">
        <v>41</v>
      </c>
      <c r="B6" t="s">
        <v>42</v>
      </c>
      <c r="C6" t="s">
        <v>24</v>
      </c>
      <c r="D6" t="s">
        <v>25</v>
      </c>
      <c r="E6">
        <v>250</v>
      </c>
      <c r="F6">
        <v>30</v>
      </c>
      <c r="G6">
        <v>30</v>
      </c>
      <c r="H6" s="2">
        <v>0.3</v>
      </c>
      <c r="I6">
        <v>18</v>
      </c>
      <c r="J6">
        <v>18</v>
      </c>
      <c r="K6" s="1">
        <f t="shared" si="0"/>
        <v>1</v>
      </c>
      <c r="L6">
        <v>0.2</v>
      </c>
      <c r="M6" s="1">
        <f t="shared" si="1"/>
        <v>1.2</v>
      </c>
      <c r="N6" s="1">
        <f t="shared" si="2"/>
        <v>48.300000000000004</v>
      </c>
      <c r="O6" s="1">
        <v>32.200000000000003</v>
      </c>
      <c r="P6">
        <f t="shared" si="3"/>
        <v>1.5</v>
      </c>
      <c r="Q6" t="s">
        <v>26</v>
      </c>
      <c r="R6" t="s">
        <v>43</v>
      </c>
      <c r="S6" t="s">
        <v>44</v>
      </c>
      <c r="T6" t="s">
        <v>26</v>
      </c>
      <c r="U6">
        <v>1365</v>
      </c>
      <c r="V6">
        <f t="shared" si="4"/>
        <v>737.1</v>
      </c>
    </row>
    <row r="7" spans="1:22" x14ac:dyDescent="0.25">
      <c r="A7" t="s">
        <v>45</v>
      </c>
      <c r="B7" t="s">
        <v>46</v>
      </c>
      <c r="C7" t="s">
        <v>24</v>
      </c>
      <c r="D7" t="s">
        <v>25</v>
      </c>
      <c r="E7">
        <v>250</v>
      </c>
      <c r="F7">
        <v>30</v>
      </c>
      <c r="G7">
        <v>30</v>
      </c>
      <c r="H7" s="2">
        <v>0.3</v>
      </c>
      <c r="I7">
        <v>16</v>
      </c>
      <c r="J7">
        <v>18</v>
      </c>
      <c r="K7" s="1">
        <f t="shared" si="0"/>
        <v>0.88888888888888884</v>
      </c>
      <c r="L7">
        <v>0.2</v>
      </c>
      <c r="M7" s="1">
        <f t="shared" si="1"/>
        <v>1.1777777777777778</v>
      </c>
      <c r="N7" s="1">
        <f t="shared" si="2"/>
        <v>52.005000000000003</v>
      </c>
      <c r="O7" s="1">
        <v>34.67</v>
      </c>
      <c r="P7">
        <f t="shared" si="3"/>
        <v>1.5</v>
      </c>
      <c r="Q7" t="s">
        <v>26</v>
      </c>
      <c r="R7" t="s">
        <v>47</v>
      </c>
      <c r="S7" t="s">
        <v>48</v>
      </c>
      <c r="T7" t="s">
        <v>26</v>
      </c>
      <c r="U7">
        <v>1370</v>
      </c>
      <c r="V7">
        <f t="shared" si="4"/>
        <v>726.1</v>
      </c>
    </row>
    <row r="8" spans="1:22" x14ac:dyDescent="0.25">
      <c r="A8" t="s">
        <v>49</v>
      </c>
      <c r="B8" t="s">
        <v>50</v>
      </c>
      <c r="C8" t="s">
        <v>24</v>
      </c>
      <c r="D8" t="s">
        <v>25</v>
      </c>
      <c r="E8">
        <v>250</v>
      </c>
      <c r="F8">
        <v>30</v>
      </c>
      <c r="G8">
        <v>30</v>
      </c>
      <c r="H8" s="2">
        <v>0.3</v>
      </c>
      <c r="I8">
        <v>16</v>
      </c>
      <c r="J8">
        <v>18</v>
      </c>
      <c r="K8" s="1">
        <f t="shared" si="0"/>
        <v>0.88888888888888884</v>
      </c>
      <c r="L8">
        <v>0.2</v>
      </c>
      <c r="M8" s="1">
        <f t="shared" si="1"/>
        <v>1.1777777777777778</v>
      </c>
      <c r="N8" s="1">
        <f t="shared" si="2"/>
        <v>52.005000000000003</v>
      </c>
      <c r="O8" s="1">
        <v>34.67</v>
      </c>
      <c r="P8">
        <f t="shared" si="3"/>
        <v>1.5</v>
      </c>
      <c r="Q8" t="s">
        <v>26</v>
      </c>
      <c r="R8" t="s">
        <v>40</v>
      </c>
      <c r="S8" t="s">
        <v>51</v>
      </c>
      <c r="T8" t="s">
        <v>26</v>
      </c>
      <c r="U8">
        <v>1375</v>
      </c>
      <c r="V8">
        <f t="shared" si="4"/>
        <v>728.75</v>
      </c>
    </row>
    <row r="9" spans="1:22" x14ac:dyDescent="0.25">
      <c r="A9" t="s">
        <v>52</v>
      </c>
      <c r="B9" t="s">
        <v>53</v>
      </c>
      <c r="C9" t="s">
        <v>24</v>
      </c>
      <c r="D9" t="s">
        <v>25</v>
      </c>
      <c r="E9">
        <v>250</v>
      </c>
      <c r="F9">
        <v>30</v>
      </c>
      <c r="G9">
        <v>30</v>
      </c>
      <c r="H9" s="2">
        <v>0.3</v>
      </c>
      <c r="I9">
        <v>16</v>
      </c>
      <c r="J9">
        <v>18</v>
      </c>
      <c r="K9" s="1">
        <f t="shared" si="0"/>
        <v>0.88888888888888884</v>
      </c>
      <c r="L9">
        <v>0.2</v>
      </c>
      <c r="M9" s="1">
        <f t="shared" si="1"/>
        <v>1.1777777777777778</v>
      </c>
      <c r="N9" s="1">
        <f t="shared" si="2"/>
        <v>48.75</v>
      </c>
      <c r="O9" s="1">
        <v>32.5</v>
      </c>
      <c r="P9">
        <f t="shared" si="3"/>
        <v>1.5</v>
      </c>
      <c r="Q9" t="s">
        <v>26</v>
      </c>
      <c r="R9" t="s">
        <v>48</v>
      </c>
      <c r="S9" t="s">
        <v>54</v>
      </c>
      <c r="T9" t="s">
        <v>26</v>
      </c>
      <c r="U9">
        <v>1380</v>
      </c>
      <c r="V9">
        <f t="shared" si="4"/>
        <v>731.4</v>
      </c>
    </row>
    <row r="10" spans="1:22" x14ac:dyDescent="0.25">
      <c r="A10" t="s">
        <v>55</v>
      </c>
      <c r="B10" t="s">
        <v>56</v>
      </c>
      <c r="C10" t="s">
        <v>24</v>
      </c>
      <c r="D10" t="s">
        <v>57</v>
      </c>
      <c r="E10">
        <v>180</v>
      </c>
      <c r="F10">
        <v>27</v>
      </c>
      <c r="G10">
        <v>27</v>
      </c>
      <c r="H10" s="2">
        <v>0.27</v>
      </c>
      <c r="I10">
        <v>8</v>
      </c>
      <c r="J10">
        <v>10</v>
      </c>
      <c r="K10" s="1">
        <f t="shared" si="0"/>
        <v>0.8</v>
      </c>
      <c r="L10">
        <v>0.2</v>
      </c>
      <c r="M10" s="1">
        <f t="shared" si="1"/>
        <v>1.1600000000000001</v>
      </c>
      <c r="N10" s="1">
        <f t="shared" si="2"/>
        <v>53.505000000000003</v>
      </c>
      <c r="O10" s="1">
        <v>35.67</v>
      </c>
      <c r="P10">
        <f t="shared" si="3"/>
        <v>1.5</v>
      </c>
      <c r="Q10" t="s">
        <v>26</v>
      </c>
      <c r="R10" t="s">
        <v>51</v>
      </c>
      <c r="S10" t="s">
        <v>58</v>
      </c>
      <c r="T10" t="s">
        <v>26</v>
      </c>
      <c r="U10">
        <v>1385</v>
      </c>
      <c r="V10">
        <f t="shared" si="4"/>
        <v>650.67300000000012</v>
      </c>
    </row>
    <row r="11" spans="1:22" x14ac:dyDescent="0.25">
      <c r="A11" t="s">
        <v>59</v>
      </c>
      <c r="B11" t="s">
        <v>60</v>
      </c>
      <c r="C11" t="s">
        <v>24</v>
      </c>
      <c r="D11" t="s">
        <v>57</v>
      </c>
      <c r="E11">
        <v>180</v>
      </c>
      <c r="F11">
        <v>27</v>
      </c>
      <c r="G11">
        <v>27</v>
      </c>
      <c r="H11" s="2">
        <v>0.27</v>
      </c>
      <c r="I11">
        <v>8</v>
      </c>
      <c r="J11">
        <v>10</v>
      </c>
      <c r="K11" s="1">
        <f t="shared" si="0"/>
        <v>0.8</v>
      </c>
      <c r="L11">
        <v>0.2</v>
      </c>
      <c r="M11" s="1">
        <f t="shared" si="1"/>
        <v>1.1600000000000001</v>
      </c>
      <c r="N11" s="1">
        <f t="shared" si="2"/>
        <v>48.75</v>
      </c>
      <c r="O11" s="1">
        <v>32.5</v>
      </c>
      <c r="P11">
        <f t="shared" si="3"/>
        <v>1.5</v>
      </c>
      <c r="Q11" t="s">
        <v>26</v>
      </c>
      <c r="R11" t="s">
        <v>54</v>
      </c>
      <c r="S11" t="s">
        <v>58</v>
      </c>
      <c r="T11" t="s">
        <v>26</v>
      </c>
      <c r="U11">
        <v>1390</v>
      </c>
      <c r="V11">
        <f t="shared" si="4"/>
        <v>653.02200000000016</v>
      </c>
    </row>
    <row r="12" spans="1:22" x14ac:dyDescent="0.25">
      <c r="A12" t="s">
        <v>61</v>
      </c>
      <c r="B12" t="s">
        <v>62</v>
      </c>
      <c r="C12" t="s">
        <v>24</v>
      </c>
      <c r="D12" t="s">
        <v>57</v>
      </c>
      <c r="E12">
        <v>180</v>
      </c>
      <c r="F12">
        <v>27</v>
      </c>
      <c r="G12">
        <v>27</v>
      </c>
      <c r="H12" s="2">
        <v>0.27</v>
      </c>
      <c r="I12">
        <v>8</v>
      </c>
      <c r="J12">
        <v>10</v>
      </c>
      <c r="K12" s="1">
        <f t="shared" si="0"/>
        <v>0.8</v>
      </c>
      <c r="L12">
        <v>0.2</v>
      </c>
      <c r="M12" s="1">
        <f t="shared" si="1"/>
        <v>1.1600000000000001</v>
      </c>
      <c r="N12" s="1">
        <f t="shared" si="2"/>
        <v>49.755000000000003</v>
      </c>
      <c r="O12" s="1">
        <v>33.17</v>
      </c>
      <c r="P12">
        <f t="shared" si="3"/>
        <v>1.5</v>
      </c>
      <c r="Q12" t="s">
        <v>26</v>
      </c>
      <c r="R12" t="s">
        <v>63</v>
      </c>
      <c r="S12" t="s">
        <v>64</v>
      </c>
      <c r="T12" t="s">
        <v>26</v>
      </c>
      <c r="U12">
        <v>1395</v>
      </c>
      <c r="V12">
        <f t="shared" si="4"/>
        <v>655.37100000000009</v>
      </c>
    </row>
    <row r="13" spans="1:22" x14ac:dyDescent="0.25">
      <c r="A13" t="s">
        <v>65</v>
      </c>
      <c r="B13" t="s">
        <v>66</v>
      </c>
      <c r="C13" t="s">
        <v>24</v>
      </c>
      <c r="D13" t="s">
        <v>57</v>
      </c>
      <c r="E13">
        <v>180</v>
      </c>
      <c r="F13">
        <v>27</v>
      </c>
      <c r="G13">
        <v>27</v>
      </c>
      <c r="H13" s="2">
        <v>0.27</v>
      </c>
      <c r="I13">
        <v>8</v>
      </c>
      <c r="J13">
        <v>10</v>
      </c>
      <c r="K13" s="1">
        <f t="shared" si="0"/>
        <v>0.8</v>
      </c>
      <c r="L13">
        <v>0.2</v>
      </c>
      <c r="M13" s="1">
        <f t="shared" si="1"/>
        <v>1.1600000000000001</v>
      </c>
      <c r="N13" s="1">
        <f t="shared" si="2"/>
        <v>40.244999999999997</v>
      </c>
      <c r="O13" s="1">
        <v>26.83</v>
      </c>
      <c r="P13">
        <f t="shared" si="3"/>
        <v>1.5</v>
      </c>
      <c r="Q13" t="s">
        <v>26</v>
      </c>
      <c r="R13" t="s">
        <v>58</v>
      </c>
      <c r="S13" t="s">
        <v>67</v>
      </c>
      <c r="T13" t="s">
        <v>26</v>
      </c>
      <c r="U13">
        <v>1400</v>
      </c>
      <c r="V13">
        <f t="shared" si="4"/>
        <v>657.72</v>
      </c>
    </row>
    <row r="14" spans="1:22" x14ac:dyDescent="0.25">
      <c r="A14" t="s">
        <v>68</v>
      </c>
      <c r="B14" t="s">
        <v>69</v>
      </c>
      <c r="C14" t="s">
        <v>24</v>
      </c>
      <c r="D14" t="s">
        <v>57</v>
      </c>
      <c r="E14">
        <v>180</v>
      </c>
      <c r="F14">
        <v>27</v>
      </c>
      <c r="G14">
        <v>27</v>
      </c>
      <c r="H14" s="2">
        <v>0.27</v>
      </c>
      <c r="I14">
        <v>8</v>
      </c>
      <c r="J14">
        <v>10</v>
      </c>
      <c r="K14" s="1">
        <f t="shared" si="0"/>
        <v>0.8</v>
      </c>
      <c r="L14">
        <v>0.2</v>
      </c>
      <c r="M14" s="1">
        <f t="shared" si="1"/>
        <v>1.1600000000000001</v>
      </c>
      <c r="N14" s="1">
        <f t="shared" si="2"/>
        <v>49.994999999999997</v>
      </c>
      <c r="O14" s="1">
        <v>33.33</v>
      </c>
      <c r="P14">
        <f t="shared" si="3"/>
        <v>1.5</v>
      </c>
      <c r="Q14" t="s">
        <v>26</v>
      </c>
      <c r="R14" t="s">
        <v>64</v>
      </c>
      <c r="S14" t="s">
        <v>70</v>
      </c>
      <c r="T14" t="s">
        <v>26</v>
      </c>
      <c r="U14">
        <v>1405</v>
      </c>
      <c r="V14">
        <f t="shared" si="4"/>
        <v>660.06900000000019</v>
      </c>
    </row>
    <row r="15" spans="1:22" x14ac:dyDescent="0.25">
      <c r="A15" t="s">
        <v>71</v>
      </c>
      <c r="B15" t="s">
        <v>72</v>
      </c>
      <c r="C15" t="s">
        <v>24</v>
      </c>
      <c r="D15" t="s">
        <v>57</v>
      </c>
      <c r="E15">
        <v>180</v>
      </c>
      <c r="F15">
        <v>27</v>
      </c>
      <c r="G15">
        <v>27</v>
      </c>
      <c r="H15" s="2">
        <v>0.27</v>
      </c>
      <c r="I15">
        <v>9</v>
      </c>
      <c r="J15">
        <v>10</v>
      </c>
      <c r="K15" s="1">
        <f t="shared" si="0"/>
        <v>0.9</v>
      </c>
      <c r="L15">
        <v>0.2</v>
      </c>
      <c r="M15" s="1">
        <f t="shared" si="1"/>
        <v>1.18</v>
      </c>
      <c r="N15" s="1">
        <f t="shared" si="2"/>
        <v>33.795000000000002</v>
      </c>
      <c r="O15" s="1">
        <v>22.53</v>
      </c>
      <c r="P15">
        <f t="shared" si="3"/>
        <v>1.5</v>
      </c>
      <c r="Q15" t="s">
        <v>26</v>
      </c>
      <c r="S15" t="s">
        <v>73</v>
      </c>
      <c r="T15" t="s">
        <v>26</v>
      </c>
      <c r="U15">
        <v>1410</v>
      </c>
      <c r="V15">
        <f t="shared" si="4"/>
        <v>673.83900000000006</v>
      </c>
    </row>
    <row r="16" spans="1:22" x14ac:dyDescent="0.25">
      <c r="A16" t="s">
        <v>74</v>
      </c>
      <c r="B16" t="s">
        <v>75</v>
      </c>
      <c r="C16" t="s">
        <v>24</v>
      </c>
      <c r="D16" t="s">
        <v>57</v>
      </c>
      <c r="E16">
        <v>180</v>
      </c>
      <c r="F16">
        <v>27</v>
      </c>
      <c r="G16">
        <v>27</v>
      </c>
      <c r="H16" s="2">
        <v>0.27</v>
      </c>
      <c r="I16">
        <v>9</v>
      </c>
      <c r="J16">
        <v>10</v>
      </c>
      <c r="K16" s="1">
        <f t="shared" si="0"/>
        <v>0.9</v>
      </c>
      <c r="L16">
        <v>0.2</v>
      </c>
      <c r="M16" s="1">
        <f t="shared" si="1"/>
        <v>1.18</v>
      </c>
      <c r="N16" s="1">
        <f t="shared" si="2"/>
        <v>48.300000000000004</v>
      </c>
      <c r="O16" s="1">
        <v>32.200000000000003</v>
      </c>
      <c r="P16">
        <f t="shared" si="3"/>
        <v>1.5</v>
      </c>
      <c r="Q16" t="s">
        <v>26</v>
      </c>
      <c r="R16" t="s">
        <v>70</v>
      </c>
      <c r="T16" t="s">
        <v>26</v>
      </c>
      <c r="U16">
        <v>1415</v>
      </c>
      <c r="V16">
        <f t="shared" si="4"/>
        <v>676.22850000000005</v>
      </c>
    </row>
    <row r="17" spans="1:22" x14ac:dyDescent="0.25">
      <c r="A17" t="s">
        <v>76</v>
      </c>
      <c r="B17" t="s">
        <v>77</v>
      </c>
      <c r="C17" t="s">
        <v>24</v>
      </c>
      <c r="D17" t="s">
        <v>57</v>
      </c>
      <c r="E17">
        <v>180</v>
      </c>
      <c r="F17">
        <v>27</v>
      </c>
      <c r="G17">
        <v>27</v>
      </c>
      <c r="H17" s="2">
        <v>0.27</v>
      </c>
      <c r="I17">
        <v>9</v>
      </c>
      <c r="J17">
        <v>10</v>
      </c>
      <c r="K17" s="1">
        <f t="shared" si="0"/>
        <v>0.9</v>
      </c>
      <c r="L17">
        <v>0.2</v>
      </c>
      <c r="M17" s="1">
        <f t="shared" si="1"/>
        <v>1.18</v>
      </c>
      <c r="N17" s="1">
        <f t="shared" si="2"/>
        <v>52.005000000000003</v>
      </c>
      <c r="O17" s="1">
        <v>34.67</v>
      </c>
      <c r="P17">
        <f t="shared" si="3"/>
        <v>1.5</v>
      </c>
      <c r="Q17" t="s">
        <v>26</v>
      </c>
      <c r="R17" t="s">
        <v>78</v>
      </c>
      <c r="S17" t="s">
        <v>79</v>
      </c>
      <c r="T17" t="s">
        <v>26</v>
      </c>
      <c r="U17">
        <v>1420</v>
      </c>
      <c r="V17">
        <f t="shared" si="4"/>
        <v>678.61799999999994</v>
      </c>
    </row>
    <row r="18" spans="1:22" x14ac:dyDescent="0.25">
      <c r="A18" t="s">
        <v>80</v>
      </c>
      <c r="B18" t="s">
        <v>81</v>
      </c>
      <c r="C18" t="s">
        <v>24</v>
      </c>
      <c r="D18" t="s">
        <v>57</v>
      </c>
      <c r="E18">
        <v>180</v>
      </c>
      <c r="F18">
        <v>27</v>
      </c>
      <c r="G18">
        <v>27</v>
      </c>
      <c r="H18" s="2">
        <v>0.27</v>
      </c>
      <c r="I18">
        <v>9</v>
      </c>
      <c r="J18">
        <v>10</v>
      </c>
      <c r="K18" s="1">
        <f t="shared" si="0"/>
        <v>0.9</v>
      </c>
      <c r="L18">
        <v>0.2</v>
      </c>
      <c r="M18" s="1">
        <f t="shared" si="1"/>
        <v>1.18</v>
      </c>
      <c r="N18" s="1">
        <f t="shared" si="2"/>
        <v>52.005000000000003</v>
      </c>
      <c r="O18" s="1">
        <v>34.67</v>
      </c>
      <c r="P18">
        <f t="shared" si="3"/>
        <v>1.5</v>
      </c>
      <c r="Q18" t="s">
        <v>26</v>
      </c>
      <c r="R18" t="s">
        <v>82</v>
      </c>
      <c r="S18" t="s">
        <v>83</v>
      </c>
      <c r="T18" t="s">
        <v>26</v>
      </c>
      <c r="U18">
        <v>1425</v>
      </c>
      <c r="V18">
        <f t="shared" si="4"/>
        <v>681.00749999999994</v>
      </c>
    </row>
    <row r="19" spans="1:22" x14ac:dyDescent="0.25">
      <c r="A19" t="s">
        <v>84</v>
      </c>
      <c r="B19" t="s">
        <v>85</v>
      </c>
      <c r="C19" t="s">
        <v>24</v>
      </c>
      <c r="D19" t="s">
        <v>57</v>
      </c>
      <c r="E19">
        <v>180</v>
      </c>
      <c r="F19">
        <v>27</v>
      </c>
      <c r="G19">
        <v>27</v>
      </c>
      <c r="H19" s="2">
        <v>0.27</v>
      </c>
      <c r="I19">
        <v>9</v>
      </c>
      <c r="J19">
        <v>10</v>
      </c>
      <c r="K19" s="1">
        <f t="shared" si="0"/>
        <v>0.9</v>
      </c>
      <c r="L19">
        <v>0.2</v>
      </c>
      <c r="M19" s="1">
        <f t="shared" si="1"/>
        <v>1.18</v>
      </c>
      <c r="N19" s="1">
        <f t="shared" si="2"/>
        <v>48.75</v>
      </c>
      <c r="O19" s="1">
        <v>32.5</v>
      </c>
      <c r="P19">
        <f t="shared" si="3"/>
        <v>1.5</v>
      </c>
      <c r="Q19" t="s">
        <v>26</v>
      </c>
      <c r="S19" t="s">
        <v>73</v>
      </c>
      <c r="T19" t="s">
        <v>26</v>
      </c>
      <c r="U19">
        <v>1430</v>
      </c>
      <c r="V19">
        <f t="shared" si="4"/>
        <v>683.39700000000005</v>
      </c>
    </row>
    <row r="20" spans="1:22" x14ac:dyDescent="0.25">
      <c r="A20" t="s">
        <v>86</v>
      </c>
      <c r="B20" t="s">
        <v>87</v>
      </c>
      <c r="C20" t="s">
        <v>24</v>
      </c>
      <c r="D20" t="s">
        <v>25</v>
      </c>
      <c r="E20">
        <v>250</v>
      </c>
      <c r="F20">
        <v>30</v>
      </c>
      <c r="G20">
        <v>27</v>
      </c>
      <c r="H20" s="2">
        <v>0.27</v>
      </c>
      <c r="I20">
        <v>17</v>
      </c>
      <c r="J20">
        <v>18</v>
      </c>
      <c r="K20" s="1">
        <f t="shared" si="0"/>
        <v>0.94444444444444442</v>
      </c>
      <c r="L20">
        <v>0.2</v>
      </c>
      <c r="M20" s="1">
        <f t="shared" si="1"/>
        <v>1.1888888888888889</v>
      </c>
      <c r="N20" s="1">
        <f t="shared" si="2"/>
        <v>53.505000000000003</v>
      </c>
      <c r="O20" s="1">
        <v>35.67</v>
      </c>
      <c r="P20">
        <f t="shared" si="3"/>
        <v>1.5</v>
      </c>
      <c r="Q20" t="s">
        <v>26</v>
      </c>
      <c r="R20" t="s">
        <v>79</v>
      </c>
      <c r="S20" t="s">
        <v>88</v>
      </c>
      <c r="T20" t="s">
        <v>26</v>
      </c>
      <c r="U20">
        <v>1435</v>
      </c>
      <c r="V20">
        <f t="shared" si="4"/>
        <v>690.9525000000001</v>
      </c>
    </row>
    <row r="21" spans="1:22" x14ac:dyDescent="0.25">
      <c r="A21" t="s">
        <v>89</v>
      </c>
      <c r="B21" t="s">
        <v>90</v>
      </c>
      <c r="C21" t="s">
        <v>24</v>
      </c>
      <c r="D21" t="s">
        <v>25</v>
      </c>
      <c r="E21">
        <v>250</v>
      </c>
      <c r="F21">
        <v>30</v>
      </c>
      <c r="G21">
        <v>27</v>
      </c>
      <c r="H21" s="2">
        <v>0.27</v>
      </c>
      <c r="I21">
        <v>17</v>
      </c>
      <c r="J21">
        <v>18</v>
      </c>
      <c r="K21" s="1">
        <f t="shared" si="0"/>
        <v>0.94444444444444442</v>
      </c>
      <c r="L21">
        <v>0.2</v>
      </c>
      <c r="M21" s="1">
        <f t="shared" si="1"/>
        <v>1.1888888888888889</v>
      </c>
      <c r="N21" s="1">
        <f t="shared" si="2"/>
        <v>48.75</v>
      </c>
      <c r="O21" s="1">
        <v>32.5</v>
      </c>
      <c r="P21">
        <f t="shared" si="3"/>
        <v>1.5</v>
      </c>
      <c r="Q21" t="s">
        <v>26</v>
      </c>
      <c r="R21" t="s">
        <v>83</v>
      </c>
      <c r="S21" t="s">
        <v>91</v>
      </c>
      <c r="T21" t="s">
        <v>26</v>
      </c>
      <c r="U21">
        <v>1440</v>
      </c>
      <c r="V21">
        <f t="shared" si="4"/>
        <v>693.36</v>
      </c>
    </row>
    <row r="22" spans="1:22" x14ac:dyDescent="0.25">
      <c r="A22" t="s">
        <v>92</v>
      </c>
      <c r="B22" t="s">
        <v>93</v>
      </c>
      <c r="C22" t="s">
        <v>24</v>
      </c>
      <c r="D22" t="s">
        <v>25</v>
      </c>
      <c r="E22">
        <v>250</v>
      </c>
      <c r="F22">
        <v>30</v>
      </c>
      <c r="G22">
        <v>27</v>
      </c>
      <c r="H22" s="2">
        <v>0.27</v>
      </c>
      <c r="I22">
        <v>17</v>
      </c>
      <c r="J22">
        <v>18</v>
      </c>
      <c r="K22" s="1">
        <f t="shared" si="0"/>
        <v>0.94444444444444442</v>
      </c>
      <c r="L22">
        <v>0.2</v>
      </c>
      <c r="M22" s="1">
        <f t="shared" si="1"/>
        <v>1.1888888888888889</v>
      </c>
      <c r="N22" s="1">
        <f t="shared" si="2"/>
        <v>49.755000000000003</v>
      </c>
      <c r="O22" s="1">
        <v>33.17</v>
      </c>
      <c r="P22">
        <f t="shared" si="3"/>
        <v>1.5</v>
      </c>
      <c r="Q22" t="s">
        <v>26</v>
      </c>
      <c r="R22" t="s">
        <v>94</v>
      </c>
      <c r="S22" t="s">
        <v>95</v>
      </c>
      <c r="T22" t="s">
        <v>26</v>
      </c>
      <c r="U22">
        <v>1445</v>
      </c>
      <c r="V22">
        <f t="shared" si="4"/>
        <v>695.76750000000004</v>
      </c>
    </row>
    <row r="23" spans="1:22" x14ac:dyDescent="0.25">
      <c r="A23" t="s">
        <v>96</v>
      </c>
      <c r="B23" t="s">
        <v>97</v>
      </c>
      <c r="C23" t="s">
        <v>24</v>
      </c>
      <c r="D23" t="s">
        <v>25</v>
      </c>
      <c r="E23">
        <v>250</v>
      </c>
      <c r="F23">
        <v>30</v>
      </c>
      <c r="G23">
        <v>27</v>
      </c>
      <c r="H23" s="2">
        <v>0.27</v>
      </c>
      <c r="I23">
        <v>17</v>
      </c>
      <c r="J23">
        <v>18</v>
      </c>
      <c r="K23" s="1">
        <f t="shared" si="0"/>
        <v>0.94444444444444442</v>
      </c>
      <c r="L23">
        <v>0.2</v>
      </c>
      <c r="M23" s="1">
        <f t="shared" si="1"/>
        <v>1.1888888888888889</v>
      </c>
      <c r="N23" s="1">
        <f t="shared" si="2"/>
        <v>40.244999999999997</v>
      </c>
      <c r="O23" s="1">
        <v>26.83</v>
      </c>
      <c r="P23">
        <f t="shared" si="3"/>
        <v>1.5</v>
      </c>
      <c r="Q23" t="s">
        <v>26</v>
      </c>
      <c r="R23" t="s">
        <v>44</v>
      </c>
      <c r="S23" t="s">
        <v>98</v>
      </c>
      <c r="T23" t="s">
        <v>26</v>
      </c>
      <c r="U23">
        <v>1450</v>
      </c>
      <c r="V23">
        <f t="shared" si="4"/>
        <v>698.17499999999995</v>
      </c>
    </row>
    <row r="24" spans="1:22" x14ac:dyDescent="0.25">
      <c r="A24" t="s">
        <v>99</v>
      </c>
      <c r="B24" t="s">
        <v>100</v>
      </c>
      <c r="C24" t="s">
        <v>24</v>
      </c>
      <c r="D24" t="s">
        <v>25</v>
      </c>
      <c r="E24">
        <v>250</v>
      </c>
      <c r="F24">
        <v>30</v>
      </c>
      <c r="G24">
        <v>27</v>
      </c>
      <c r="H24" s="2">
        <v>0.27</v>
      </c>
      <c r="I24">
        <v>17</v>
      </c>
      <c r="J24">
        <v>18</v>
      </c>
      <c r="K24" s="1">
        <f t="shared" si="0"/>
        <v>0.94444444444444442</v>
      </c>
      <c r="L24">
        <v>0.2</v>
      </c>
      <c r="M24" s="1">
        <f t="shared" si="1"/>
        <v>1.1888888888888889</v>
      </c>
      <c r="N24" s="1">
        <f t="shared" si="2"/>
        <v>49.994999999999997</v>
      </c>
      <c r="O24" s="1">
        <v>33.33</v>
      </c>
      <c r="P24">
        <f t="shared" si="3"/>
        <v>1.5</v>
      </c>
      <c r="Q24" t="s">
        <v>26</v>
      </c>
      <c r="R24" t="s">
        <v>88</v>
      </c>
      <c r="S24" t="s">
        <v>101</v>
      </c>
      <c r="T24" t="s">
        <v>26</v>
      </c>
      <c r="U24">
        <v>1455</v>
      </c>
      <c r="V24">
        <f t="shared" si="4"/>
        <v>700.5825000000001</v>
      </c>
    </row>
    <row r="25" spans="1:22" x14ac:dyDescent="0.25">
      <c r="A25" t="s">
        <v>102</v>
      </c>
      <c r="B25" t="s">
        <v>103</v>
      </c>
      <c r="C25" t="s">
        <v>24</v>
      </c>
      <c r="D25" t="s">
        <v>25</v>
      </c>
      <c r="E25">
        <v>250</v>
      </c>
      <c r="F25">
        <v>30</v>
      </c>
      <c r="G25">
        <v>27</v>
      </c>
      <c r="H25" s="2">
        <v>0.27</v>
      </c>
      <c r="I25">
        <v>17</v>
      </c>
      <c r="J25">
        <v>18</v>
      </c>
      <c r="K25" s="1">
        <f t="shared" si="0"/>
        <v>0.94444444444444442</v>
      </c>
      <c r="L25">
        <v>0.2</v>
      </c>
      <c r="M25" s="1">
        <f t="shared" si="1"/>
        <v>1.1888888888888889</v>
      </c>
      <c r="N25" s="1">
        <f t="shared" si="2"/>
        <v>33.795000000000002</v>
      </c>
      <c r="O25" s="1">
        <v>22.53</v>
      </c>
      <c r="P25">
        <f t="shared" si="3"/>
        <v>1.5</v>
      </c>
      <c r="Q25" t="s">
        <v>26</v>
      </c>
      <c r="R25" t="s">
        <v>104</v>
      </c>
      <c r="S25" t="s">
        <v>105</v>
      </c>
      <c r="T25" t="s">
        <v>26</v>
      </c>
      <c r="U25">
        <v>1460</v>
      </c>
      <c r="V25">
        <f t="shared" si="4"/>
        <v>702.99000000000012</v>
      </c>
    </row>
    <row r="26" spans="1:22" x14ac:dyDescent="0.25">
      <c r="A26" t="s">
        <v>106</v>
      </c>
      <c r="B26" t="s">
        <v>107</v>
      </c>
      <c r="C26" t="s">
        <v>24</v>
      </c>
      <c r="D26" t="s">
        <v>57</v>
      </c>
      <c r="E26">
        <v>180</v>
      </c>
      <c r="F26">
        <v>27</v>
      </c>
      <c r="G26">
        <v>27</v>
      </c>
      <c r="H26" s="2">
        <v>0.27</v>
      </c>
      <c r="I26">
        <v>9</v>
      </c>
      <c r="J26">
        <v>10</v>
      </c>
      <c r="K26" s="1">
        <f t="shared" si="0"/>
        <v>0.9</v>
      </c>
      <c r="L26">
        <v>0.2</v>
      </c>
      <c r="M26" s="1">
        <f t="shared" si="1"/>
        <v>1.18</v>
      </c>
      <c r="N26" s="1">
        <f t="shared" si="2"/>
        <v>48.300000000000004</v>
      </c>
      <c r="O26" s="1">
        <v>32.200000000000003</v>
      </c>
      <c r="P26">
        <f t="shared" si="3"/>
        <v>1.5</v>
      </c>
      <c r="Q26" t="s">
        <v>26</v>
      </c>
      <c r="R26" t="s">
        <v>91</v>
      </c>
      <c r="T26" t="s">
        <v>26</v>
      </c>
      <c r="U26">
        <v>1465</v>
      </c>
      <c r="V26">
        <f t="shared" si="4"/>
        <v>700.12350000000004</v>
      </c>
    </row>
    <row r="27" spans="1:22" x14ac:dyDescent="0.25">
      <c r="A27" t="s">
        <v>108</v>
      </c>
      <c r="B27" t="s">
        <v>109</v>
      </c>
      <c r="C27" t="s">
        <v>24</v>
      </c>
      <c r="D27" t="s">
        <v>57</v>
      </c>
      <c r="E27">
        <v>180</v>
      </c>
      <c r="F27">
        <v>27</v>
      </c>
      <c r="G27">
        <v>27</v>
      </c>
      <c r="H27" s="2">
        <v>0.27</v>
      </c>
      <c r="I27">
        <v>9</v>
      </c>
      <c r="J27">
        <v>10</v>
      </c>
      <c r="K27" s="1">
        <f t="shared" si="0"/>
        <v>0.9</v>
      </c>
      <c r="L27">
        <v>0.2</v>
      </c>
      <c r="M27" s="1">
        <f t="shared" si="1"/>
        <v>1.18</v>
      </c>
      <c r="N27" s="1">
        <f t="shared" si="2"/>
        <v>52.005000000000003</v>
      </c>
      <c r="O27" s="1">
        <v>34.67</v>
      </c>
      <c r="P27">
        <f t="shared" si="3"/>
        <v>1.5</v>
      </c>
      <c r="Q27" t="s">
        <v>26</v>
      </c>
      <c r="R27" t="s">
        <v>95</v>
      </c>
      <c r="T27" t="s">
        <v>26</v>
      </c>
      <c r="U27">
        <v>1470</v>
      </c>
      <c r="V27">
        <f t="shared" si="4"/>
        <v>702.51300000000003</v>
      </c>
    </row>
    <row r="28" spans="1:22" x14ac:dyDescent="0.25">
      <c r="A28" t="s">
        <v>110</v>
      </c>
      <c r="B28" t="s">
        <v>111</v>
      </c>
      <c r="C28" t="s">
        <v>24</v>
      </c>
      <c r="D28" t="s">
        <v>57</v>
      </c>
      <c r="E28">
        <v>180</v>
      </c>
      <c r="F28">
        <v>27</v>
      </c>
      <c r="G28">
        <v>27</v>
      </c>
      <c r="H28" s="2">
        <v>0.27</v>
      </c>
      <c r="I28">
        <v>9</v>
      </c>
      <c r="J28">
        <v>10</v>
      </c>
      <c r="K28" s="1">
        <f t="shared" si="0"/>
        <v>0.9</v>
      </c>
      <c r="L28">
        <v>0.2</v>
      </c>
      <c r="M28" s="1">
        <f t="shared" si="1"/>
        <v>1.18</v>
      </c>
      <c r="N28" s="1">
        <f t="shared" si="2"/>
        <v>52.005000000000003</v>
      </c>
      <c r="O28" s="1">
        <v>34.67</v>
      </c>
      <c r="P28">
        <f t="shared" si="3"/>
        <v>1.5</v>
      </c>
      <c r="Q28" t="s">
        <v>26</v>
      </c>
      <c r="R28" t="s">
        <v>98</v>
      </c>
      <c r="S28" t="s">
        <v>36</v>
      </c>
      <c r="T28" t="s">
        <v>26</v>
      </c>
      <c r="U28">
        <v>1475</v>
      </c>
      <c r="V28">
        <f t="shared" si="4"/>
        <v>704.90249999999992</v>
      </c>
    </row>
    <row r="29" spans="1:22" x14ac:dyDescent="0.25">
      <c r="A29" t="s">
        <v>112</v>
      </c>
      <c r="B29" t="s">
        <v>113</v>
      </c>
      <c r="C29" t="s">
        <v>24</v>
      </c>
      <c r="D29" t="s">
        <v>57</v>
      </c>
      <c r="E29">
        <v>180</v>
      </c>
      <c r="F29">
        <v>27</v>
      </c>
      <c r="G29">
        <v>27</v>
      </c>
      <c r="H29" s="2">
        <v>0.27</v>
      </c>
      <c r="I29">
        <v>9</v>
      </c>
      <c r="J29">
        <v>10</v>
      </c>
      <c r="K29" s="1">
        <f t="shared" si="0"/>
        <v>0.9</v>
      </c>
      <c r="L29">
        <v>0.2</v>
      </c>
      <c r="M29" s="1">
        <f t="shared" si="1"/>
        <v>1.18</v>
      </c>
      <c r="N29" s="1">
        <f t="shared" si="2"/>
        <v>48.75</v>
      </c>
      <c r="O29" s="1">
        <v>32.5</v>
      </c>
      <c r="P29">
        <f t="shared" si="3"/>
        <v>1.5</v>
      </c>
      <c r="Q29" t="s">
        <v>26</v>
      </c>
      <c r="R29" t="s">
        <v>114</v>
      </c>
      <c r="S29" t="s">
        <v>39</v>
      </c>
      <c r="T29" t="s">
        <v>26</v>
      </c>
      <c r="U29">
        <v>1480</v>
      </c>
      <c r="V29">
        <f t="shared" si="4"/>
        <v>707.29200000000003</v>
      </c>
    </row>
    <row r="30" spans="1:22" x14ac:dyDescent="0.25">
      <c r="A30" t="s">
        <v>115</v>
      </c>
      <c r="B30" t="s">
        <v>116</v>
      </c>
      <c r="C30" t="s">
        <v>24</v>
      </c>
      <c r="D30" t="s">
        <v>57</v>
      </c>
      <c r="E30">
        <v>180</v>
      </c>
      <c r="F30">
        <v>27</v>
      </c>
      <c r="G30">
        <v>27</v>
      </c>
      <c r="H30" s="2">
        <v>0.27</v>
      </c>
      <c r="I30">
        <v>9</v>
      </c>
      <c r="J30">
        <v>10</v>
      </c>
      <c r="K30" s="1">
        <f t="shared" si="0"/>
        <v>0.9</v>
      </c>
      <c r="L30">
        <v>0.2</v>
      </c>
      <c r="M30" s="1">
        <f t="shared" si="1"/>
        <v>1.18</v>
      </c>
      <c r="N30" s="1">
        <f t="shared" si="2"/>
        <v>53.505000000000003</v>
      </c>
      <c r="O30" s="1">
        <v>35.67</v>
      </c>
      <c r="P30">
        <f t="shared" si="3"/>
        <v>1.5</v>
      </c>
      <c r="Q30" t="s">
        <v>26</v>
      </c>
      <c r="R30" t="s">
        <v>101</v>
      </c>
      <c r="S30" t="s">
        <v>47</v>
      </c>
      <c r="T30" t="s">
        <v>26</v>
      </c>
      <c r="U30">
        <v>1485</v>
      </c>
      <c r="V30">
        <f t="shared" si="4"/>
        <v>709.68150000000003</v>
      </c>
    </row>
    <row r="31" spans="1:22" x14ac:dyDescent="0.25">
      <c r="A31" t="s">
        <v>117</v>
      </c>
      <c r="B31" t="s">
        <v>118</v>
      </c>
      <c r="C31" t="s">
        <v>24</v>
      </c>
      <c r="D31" t="s">
        <v>25</v>
      </c>
      <c r="E31">
        <v>250</v>
      </c>
      <c r="F31">
        <v>30</v>
      </c>
      <c r="G31">
        <v>27</v>
      </c>
      <c r="H31" s="2">
        <v>0.27</v>
      </c>
      <c r="I31">
        <v>17</v>
      </c>
      <c r="J31">
        <v>18</v>
      </c>
      <c r="K31" s="1">
        <f t="shared" si="0"/>
        <v>0.94444444444444442</v>
      </c>
      <c r="L31">
        <v>0.2</v>
      </c>
      <c r="M31" s="1">
        <f t="shared" si="1"/>
        <v>1.1888888888888889</v>
      </c>
      <c r="N31" s="1">
        <f t="shared" si="2"/>
        <v>48.75</v>
      </c>
      <c r="O31" s="1">
        <v>32.5</v>
      </c>
      <c r="P31">
        <f t="shared" si="3"/>
        <v>1.5</v>
      </c>
      <c r="Q31" t="s">
        <v>26</v>
      </c>
      <c r="R31" t="s">
        <v>105</v>
      </c>
      <c r="S31" t="s">
        <v>40</v>
      </c>
      <c r="T31" t="s">
        <v>26</v>
      </c>
      <c r="U31">
        <v>1490</v>
      </c>
      <c r="V31">
        <f t="shared" si="4"/>
        <v>717.43500000000006</v>
      </c>
    </row>
    <row r="32" spans="1:22" x14ac:dyDescent="0.25">
      <c r="A32" t="s">
        <v>119</v>
      </c>
      <c r="B32" t="s">
        <v>120</v>
      </c>
      <c r="C32" t="s">
        <v>24</v>
      </c>
      <c r="D32" t="s">
        <v>25</v>
      </c>
      <c r="E32">
        <v>250</v>
      </c>
      <c r="F32">
        <v>30</v>
      </c>
      <c r="G32">
        <v>27</v>
      </c>
      <c r="H32" s="2">
        <v>0.27</v>
      </c>
      <c r="I32">
        <v>17</v>
      </c>
      <c r="J32">
        <v>18</v>
      </c>
      <c r="K32" s="1">
        <f t="shared" si="0"/>
        <v>0.94444444444444442</v>
      </c>
      <c r="L32">
        <v>0.2</v>
      </c>
      <c r="M32" s="1">
        <f t="shared" si="1"/>
        <v>1.1888888888888889</v>
      </c>
      <c r="N32" s="1">
        <f t="shared" si="2"/>
        <v>49.755000000000003</v>
      </c>
      <c r="O32" s="1">
        <v>33.17</v>
      </c>
      <c r="P32">
        <f t="shared" si="3"/>
        <v>1.5</v>
      </c>
      <c r="Q32" t="s">
        <v>26</v>
      </c>
      <c r="R32" t="s">
        <v>121</v>
      </c>
      <c r="S32" t="s">
        <v>51</v>
      </c>
      <c r="T32" t="s">
        <v>26</v>
      </c>
      <c r="U32">
        <v>1495</v>
      </c>
      <c r="V32">
        <f t="shared" si="4"/>
        <v>719.84249999999997</v>
      </c>
    </row>
    <row r="33" spans="1:22" x14ac:dyDescent="0.25">
      <c r="A33" t="s">
        <v>122</v>
      </c>
      <c r="B33" t="s">
        <v>123</v>
      </c>
      <c r="C33" t="s">
        <v>24</v>
      </c>
      <c r="D33" t="s">
        <v>25</v>
      </c>
      <c r="E33">
        <v>250</v>
      </c>
      <c r="F33">
        <v>30</v>
      </c>
      <c r="G33">
        <v>27</v>
      </c>
      <c r="H33" s="2">
        <v>0.27</v>
      </c>
      <c r="I33">
        <v>17</v>
      </c>
      <c r="J33">
        <v>18</v>
      </c>
      <c r="K33" s="1">
        <f t="shared" si="0"/>
        <v>0.94444444444444442</v>
      </c>
      <c r="L33">
        <v>0.2</v>
      </c>
      <c r="M33" s="1">
        <f t="shared" si="1"/>
        <v>1.1888888888888889</v>
      </c>
      <c r="N33" s="1">
        <f t="shared" si="2"/>
        <v>40.244999999999997</v>
      </c>
      <c r="O33" s="1">
        <v>26.83</v>
      </c>
      <c r="P33">
        <f t="shared" si="3"/>
        <v>1.5</v>
      </c>
      <c r="Q33" t="s">
        <v>26</v>
      </c>
      <c r="R33" t="s">
        <v>124</v>
      </c>
      <c r="S33" t="s">
        <v>54</v>
      </c>
      <c r="T33" t="s">
        <v>26</v>
      </c>
      <c r="U33">
        <v>1500</v>
      </c>
      <c r="V33">
        <f t="shared" si="4"/>
        <v>722.25</v>
      </c>
    </row>
    <row r="34" spans="1:22" x14ac:dyDescent="0.25">
      <c r="A34" t="s">
        <v>125</v>
      </c>
      <c r="B34" t="s">
        <v>126</v>
      </c>
      <c r="C34" t="s">
        <v>24</v>
      </c>
      <c r="D34" t="s">
        <v>25</v>
      </c>
      <c r="E34">
        <v>250</v>
      </c>
      <c r="F34">
        <v>30</v>
      </c>
      <c r="G34">
        <v>27</v>
      </c>
      <c r="H34" s="2">
        <v>0.27</v>
      </c>
      <c r="I34">
        <v>16</v>
      </c>
      <c r="J34">
        <v>18</v>
      </c>
      <c r="K34" s="1">
        <f t="shared" si="0"/>
        <v>0.88888888888888884</v>
      </c>
      <c r="L34">
        <v>0.2</v>
      </c>
      <c r="M34" s="1">
        <f t="shared" si="1"/>
        <v>1.1777777777777778</v>
      </c>
      <c r="N34" s="1">
        <f t="shared" si="2"/>
        <v>49.994999999999997</v>
      </c>
      <c r="O34" s="1">
        <v>33.33</v>
      </c>
      <c r="P34">
        <f t="shared" si="3"/>
        <v>1.5</v>
      </c>
      <c r="Q34" t="s">
        <v>26</v>
      </c>
      <c r="R34" t="s">
        <v>31</v>
      </c>
      <c r="S34" t="s">
        <v>58</v>
      </c>
      <c r="T34" t="s">
        <v>26</v>
      </c>
      <c r="U34">
        <v>1505</v>
      </c>
      <c r="V34">
        <f t="shared" si="4"/>
        <v>717.8850000000001</v>
      </c>
    </row>
    <row r="35" spans="1:22" x14ac:dyDescent="0.25">
      <c r="A35" t="s">
        <v>127</v>
      </c>
      <c r="B35" t="s">
        <v>128</v>
      </c>
      <c r="C35" t="s">
        <v>24</v>
      </c>
      <c r="D35" t="s">
        <v>25</v>
      </c>
      <c r="E35">
        <v>250</v>
      </c>
      <c r="F35">
        <v>30</v>
      </c>
      <c r="G35">
        <v>27</v>
      </c>
      <c r="H35" s="2">
        <v>0.27</v>
      </c>
      <c r="I35">
        <v>18</v>
      </c>
      <c r="J35">
        <v>18</v>
      </c>
      <c r="K35" s="1">
        <f t="shared" si="0"/>
        <v>1</v>
      </c>
      <c r="L35">
        <v>0.2</v>
      </c>
      <c r="M35" s="1">
        <f t="shared" si="1"/>
        <v>1.2</v>
      </c>
      <c r="N35" s="1">
        <f t="shared" si="2"/>
        <v>33.795000000000002</v>
      </c>
      <c r="O35" s="1">
        <v>22.53</v>
      </c>
      <c r="P35">
        <f t="shared" si="3"/>
        <v>1.5</v>
      </c>
      <c r="Q35" t="s">
        <v>26</v>
      </c>
      <c r="R35" t="s">
        <v>35</v>
      </c>
      <c r="S35" t="s">
        <v>67</v>
      </c>
      <c r="T35" t="s">
        <v>26</v>
      </c>
      <c r="U35">
        <v>1510</v>
      </c>
      <c r="V35">
        <f t="shared" si="4"/>
        <v>733.86</v>
      </c>
    </row>
    <row r="36" spans="1:22" x14ac:dyDescent="0.25">
      <c r="A36" t="s">
        <v>129</v>
      </c>
      <c r="B36" t="s">
        <v>130</v>
      </c>
      <c r="C36" t="s">
        <v>24</v>
      </c>
      <c r="D36" t="s">
        <v>57</v>
      </c>
      <c r="E36">
        <v>180</v>
      </c>
      <c r="F36">
        <v>27</v>
      </c>
      <c r="G36">
        <v>27</v>
      </c>
      <c r="H36" s="2">
        <v>0.27</v>
      </c>
      <c r="I36">
        <v>9</v>
      </c>
      <c r="J36">
        <v>10</v>
      </c>
      <c r="K36" s="1">
        <f t="shared" si="0"/>
        <v>0.9</v>
      </c>
      <c r="L36">
        <v>0.2</v>
      </c>
      <c r="M36" s="1">
        <f t="shared" si="1"/>
        <v>1.18</v>
      </c>
      <c r="N36" s="1">
        <f t="shared" si="2"/>
        <v>48.300000000000004</v>
      </c>
      <c r="O36" s="1">
        <v>32.200000000000003</v>
      </c>
      <c r="P36">
        <f t="shared" si="3"/>
        <v>1.5</v>
      </c>
      <c r="Q36" t="s">
        <v>26</v>
      </c>
      <c r="R36" t="s">
        <v>36</v>
      </c>
      <c r="T36" t="s">
        <v>26</v>
      </c>
      <c r="U36">
        <v>1515</v>
      </c>
      <c r="V36">
        <f t="shared" si="4"/>
        <v>724.01850000000002</v>
      </c>
    </row>
    <row r="37" spans="1:22" x14ac:dyDescent="0.25">
      <c r="A37" t="s">
        <v>131</v>
      </c>
      <c r="B37" t="s">
        <v>132</v>
      </c>
      <c r="C37" t="s">
        <v>24</v>
      </c>
      <c r="D37" t="s">
        <v>57</v>
      </c>
      <c r="E37">
        <v>180</v>
      </c>
      <c r="F37">
        <v>27</v>
      </c>
      <c r="G37">
        <v>27</v>
      </c>
      <c r="H37" s="2">
        <v>0.27</v>
      </c>
      <c r="I37">
        <v>9</v>
      </c>
      <c r="J37">
        <v>10</v>
      </c>
      <c r="K37" s="1">
        <f t="shared" si="0"/>
        <v>0.9</v>
      </c>
      <c r="L37">
        <v>0.2</v>
      </c>
      <c r="M37" s="1">
        <f t="shared" si="1"/>
        <v>1.18</v>
      </c>
      <c r="N37" s="1">
        <f t="shared" si="2"/>
        <v>52.005000000000003</v>
      </c>
      <c r="O37" s="1">
        <v>34.67</v>
      </c>
      <c r="P37">
        <f t="shared" si="3"/>
        <v>1.5</v>
      </c>
      <c r="Q37" t="s">
        <v>26</v>
      </c>
      <c r="R37" t="s">
        <v>39</v>
      </c>
      <c r="T37" t="s">
        <v>26</v>
      </c>
      <c r="U37">
        <v>1520</v>
      </c>
      <c r="V37">
        <f t="shared" si="4"/>
        <v>726.40800000000002</v>
      </c>
    </row>
    <row r="38" spans="1:22" x14ac:dyDescent="0.25">
      <c r="A38" t="s">
        <v>133</v>
      </c>
      <c r="B38" t="s">
        <v>134</v>
      </c>
      <c r="C38" t="s">
        <v>24</v>
      </c>
      <c r="D38" t="s">
        <v>57</v>
      </c>
      <c r="E38">
        <v>180</v>
      </c>
      <c r="F38">
        <v>27</v>
      </c>
      <c r="G38">
        <v>27</v>
      </c>
      <c r="H38" s="2">
        <v>0.27</v>
      </c>
      <c r="I38">
        <v>9</v>
      </c>
      <c r="J38">
        <v>10</v>
      </c>
      <c r="K38" s="1">
        <f t="shared" si="0"/>
        <v>0.9</v>
      </c>
      <c r="L38">
        <v>0.2</v>
      </c>
      <c r="M38" s="1">
        <f t="shared" si="1"/>
        <v>1.18</v>
      </c>
      <c r="N38" s="1">
        <f t="shared" si="2"/>
        <v>52.005000000000003</v>
      </c>
      <c r="O38" s="1">
        <v>34.67</v>
      </c>
      <c r="P38">
        <f t="shared" si="3"/>
        <v>1.5</v>
      </c>
      <c r="Q38" t="s">
        <v>26</v>
      </c>
      <c r="R38" t="s">
        <v>43</v>
      </c>
      <c r="S38" t="s">
        <v>83</v>
      </c>
      <c r="T38" t="s">
        <v>26</v>
      </c>
      <c r="U38">
        <v>1525</v>
      </c>
      <c r="V38">
        <f t="shared" si="4"/>
        <v>728.79750000000001</v>
      </c>
    </row>
    <row r="39" spans="1:22" x14ac:dyDescent="0.25">
      <c r="A39" t="s">
        <v>135</v>
      </c>
      <c r="B39" t="s">
        <v>136</v>
      </c>
      <c r="C39" t="s">
        <v>24</v>
      </c>
      <c r="D39" t="s">
        <v>57</v>
      </c>
      <c r="E39">
        <v>180</v>
      </c>
      <c r="F39">
        <v>27</v>
      </c>
      <c r="G39">
        <v>27</v>
      </c>
      <c r="H39" s="2">
        <v>0.27</v>
      </c>
      <c r="I39">
        <v>9</v>
      </c>
      <c r="J39">
        <v>10</v>
      </c>
      <c r="K39" s="1">
        <f t="shared" si="0"/>
        <v>0.9</v>
      </c>
      <c r="L39">
        <v>0.2</v>
      </c>
      <c r="M39" s="1">
        <f t="shared" si="1"/>
        <v>1.18</v>
      </c>
      <c r="N39" s="1">
        <f t="shared" si="2"/>
        <v>48.75</v>
      </c>
      <c r="O39" s="1">
        <v>32.5</v>
      </c>
      <c r="P39">
        <f t="shared" si="3"/>
        <v>1.5</v>
      </c>
      <c r="Q39" t="s">
        <v>26</v>
      </c>
      <c r="R39" t="s">
        <v>47</v>
      </c>
      <c r="T39" t="s">
        <v>26</v>
      </c>
      <c r="U39">
        <v>1530</v>
      </c>
      <c r="V39">
        <f t="shared" si="4"/>
        <v>731.18700000000013</v>
      </c>
    </row>
    <row r="40" spans="1:22" x14ac:dyDescent="0.25">
      <c r="A40" t="s">
        <v>137</v>
      </c>
      <c r="B40" t="s">
        <v>138</v>
      </c>
      <c r="C40" t="s">
        <v>24</v>
      </c>
      <c r="D40" t="s">
        <v>57</v>
      </c>
      <c r="E40">
        <v>180</v>
      </c>
      <c r="F40">
        <v>27</v>
      </c>
      <c r="G40">
        <v>27</v>
      </c>
      <c r="H40" s="2">
        <v>0.27</v>
      </c>
      <c r="I40">
        <v>9</v>
      </c>
      <c r="J40">
        <v>10</v>
      </c>
      <c r="K40" s="1">
        <f t="shared" si="0"/>
        <v>0.9</v>
      </c>
      <c r="L40">
        <v>0.2</v>
      </c>
      <c r="M40" s="1">
        <f t="shared" si="1"/>
        <v>1.18</v>
      </c>
      <c r="N40" s="1">
        <f t="shared" si="2"/>
        <v>52.005000000000003</v>
      </c>
      <c r="O40" s="1">
        <v>34.67</v>
      </c>
      <c r="P40">
        <f t="shared" si="3"/>
        <v>1.5</v>
      </c>
      <c r="Q40" t="s">
        <v>26</v>
      </c>
      <c r="R40" t="s">
        <v>40</v>
      </c>
      <c r="S40" t="s">
        <v>104</v>
      </c>
      <c r="T40" t="s">
        <v>26</v>
      </c>
      <c r="U40">
        <v>1535</v>
      </c>
      <c r="V40">
        <f t="shared" si="4"/>
        <v>733.57650000000001</v>
      </c>
    </row>
    <row r="41" spans="1:22" x14ac:dyDescent="0.25">
      <c r="A41" t="s">
        <v>139</v>
      </c>
      <c r="B41" t="s">
        <v>140</v>
      </c>
      <c r="C41" t="s">
        <v>24</v>
      </c>
      <c r="D41" t="s">
        <v>57</v>
      </c>
      <c r="E41">
        <v>180</v>
      </c>
      <c r="F41">
        <v>27</v>
      </c>
      <c r="G41">
        <v>27</v>
      </c>
      <c r="H41" s="2">
        <v>0.27</v>
      </c>
      <c r="I41">
        <v>9</v>
      </c>
      <c r="J41">
        <v>10</v>
      </c>
      <c r="K41" s="1">
        <f t="shared" si="0"/>
        <v>0.9</v>
      </c>
      <c r="L41">
        <v>0.2</v>
      </c>
      <c r="M41" s="1">
        <f t="shared" si="1"/>
        <v>1.18</v>
      </c>
      <c r="N41" s="1">
        <f t="shared" si="2"/>
        <v>48.75</v>
      </c>
      <c r="O41" s="1">
        <v>32.5</v>
      </c>
      <c r="P41">
        <f t="shared" si="3"/>
        <v>1.5</v>
      </c>
      <c r="Q41" t="s">
        <v>26</v>
      </c>
      <c r="R41" t="s">
        <v>48</v>
      </c>
      <c r="S41" t="s">
        <v>95</v>
      </c>
      <c r="T41" t="s">
        <v>26</v>
      </c>
      <c r="U41">
        <v>1540</v>
      </c>
      <c r="V41">
        <f t="shared" si="4"/>
        <v>735.96600000000001</v>
      </c>
    </row>
    <row r="42" spans="1:22" x14ac:dyDescent="0.25">
      <c r="A42" t="s">
        <v>141</v>
      </c>
      <c r="B42" t="s">
        <v>142</v>
      </c>
      <c r="C42" t="s">
        <v>24</v>
      </c>
      <c r="D42" t="s">
        <v>57</v>
      </c>
      <c r="E42">
        <v>180</v>
      </c>
      <c r="F42">
        <v>27</v>
      </c>
      <c r="G42">
        <v>27</v>
      </c>
      <c r="H42" s="2">
        <v>0.27</v>
      </c>
      <c r="I42">
        <v>9</v>
      </c>
      <c r="J42">
        <v>10</v>
      </c>
      <c r="K42" s="1">
        <f t="shared" si="0"/>
        <v>0.9</v>
      </c>
      <c r="L42">
        <v>0.2</v>
      </c>
      <c r="M42" s="1">
        <f t="shared" si="1"/>
        <v>1.18</v>
      </c>
      <c r="N42" s="1">
        <f t="shared" si="2"/>
        <v>49.755000000000003</v>
      </c>
      <c r="O42" s="1">
        <v>33.17</v>
      </c>
      <c r="P42">
        <f t="shared" si="3"/>
        <v>1.5</v>
      </c>
      <c r="Q42" t="s">
        <v>26</v>
      </c>
      <c r="R42" t="s">
        <v>51</v>
      </c>
      <c r="S42" t="s">
        <v>114</v>
      </c>
      <c r="T42" t="s">
        <v>26</v>
      </c>
      <c r="U42">
        <v>1545</v>
      </c>
      <c r="V42">
        <f t="shared" si="4"/>
        <v>738.35550000000001</v>
      </c>
    </row>
    <row r="43" spans="1:22" x14ac:dyDescent="0.25">
      <c r="A43" t="s">
        <v>143</v>
      </c>
      <c r="B43" t="s">
        <v>144</v>
      </c>
      <c r="C43" t="s">
        <v>24</v>
      </c>
      <c r="D43" t="s">
        <v>57</v>
      </c>
      <c r="E43">
        <v>180</v>
      </c>
      <c r="F43">
        <v>27</v>
      </c>
      <c r="G43">
        <v>27</v>
      </c>
      <c r="H43" s="2">
        <v>0.27</v>
      </c>
      <c r="I43">
        <v>10</v>
      </c>
      <c r="J43">
        <v>10</v>
      </c>
      <c r="K43" s="1">
        <f t="shared" si="0"/>
        <v>1</v>
      </c>
      <c r="L43">
        <v>0.2</v>
      </c>
      <c r="M43" s="1">
        <f t="shared" si="1"/>
        <v>1.2</v>
      </c>
      <c r="N43" s="1">
        <f t="shared" si="2"/>
        <v>40.244999999999997</v>
      </c>
      <c r="O43" s="1">
        <v>26.83</v>
      </c>
      <c r="P43">
        <f t="shared" si="3"/>
        <v>1.5</v>
      </c>
      <c r="Q43" t="s">
        <v>26</v>
      </c>
      <c r="R43" t="s">
        <v>54</v>
      </c>
      <c r="S43" t="s">
        <v>105</v>
      </c>
      <c r="T43" t="s">
        <v>26</v>
      </c>
      <c r="U43">
        <v>1550</v>
      </c>
      <c r="V43">
        <f t="shared" si="4"/>
        <v>753.3</v>
      </c>
    </row>
    <row r="44" spans="1:22" x14ac:dyDescent="0.25">
      <c r="A44" t="s">
        <v>145</v>
      </c>
      <c r="B44" t="s">
        <v>146</v>
      </c>
      <c r="C44" t="s">
        <v>24</v>
      </c>
      <c r="D44" t="s">
        <v>25</v>
      </c>
      <c r="E44">
        <v>250</v>
      </c>
      <c r="F44">
        <v>30</v>
      </c>
      <c r="G44">
        <v>27</v>
      </c>
      <c r="H44" s="2">
        <v>0.27</v>
      </c>
      <c r="I44">
        <v>16</v>
      </c>
      <c r="J44">
        <v>18</v>
      </c>
      <c r="K44" s="1">
        <f t="shared" si="0"/>
        <v>0.88888888888888884</v>
      </c>
      <c r="L44">
        <v>0.2</v>
      </c>
      <c r="M44" s="1">
        <f t="shared" si="1"/>
        <v>1.1777777777777778</v>
      </c>
      <c r="N44" s="1">
        <f t="shared" si="2"/>
        <v>46.994999999999997</v>
      </c>
      <c r="O44" s="1">
        <v>31.33</v>
      </c>
      <c r="P44">
        <f t="shared" si="3"/>
        <v>1.5</v>
      </c>
      <c r="Q44" t="s">
        <v>26</v>
      </c>
      <c r="R44" t="s">
        <v>63</v>
      </c>
      <c r="S44" t="s">
        <v>124</v>
      </c>
      <c r="T44" t="s">
        <v>26</v>
      </c>
      <c r="U44">
        <v>1555</v>
      </c>
      <c r="V44">
        <f t="shared" si="4"/>
        <v>741.73500000000013</v>
      </c>
    </row>
    <row r="45" spans="1:22" x14ac:dyDescent="0.25">
      <c r="A45" t="s">
        <v>147</v>
      </c>
      <c r="B45" t="s">
        <v>148</v>
      </c>
      <c r="C45" t="s">
        <v>24</v>
      </c>
      <c r="D45" t="s">
        <v>57</v>
      </c>
      <c r="E45">
        <v>180</v>
      </c>
      <c r="F45">
        <v>27</v>
      </c>
      <c r="G45">
        <v>27</v>
      </c>
      <c r="H45" s="2">
        <v>0.27</v>
      </c>
      <c r="I45">
        <v>10</v>
      </c>
      <c r="J45">
        <v>10</v>
      </c>
      <c r="K45" s="1">
        <f t="shared" si="0"/>
        <v>1</v>
      </c>
      <c r="L45">
        <v>0.2</v>
      </c>
      <c r="M45" s="1">
        <f t="shared" si="1"/>
        <v>1.2</v>
      </c>
      <c r="N45" s="1">
        <f t="shared" si="2"/>
        <v>33.795000000000002</v>
      </c>
      <c r="O45" s="1">
        <v>22.53</v>
      </c>
      <c r="P45">
        <f t="shared" si="3"/>
        <v>1.5</v>
      </c>
      <c r="Q45" t="s">
        <v>26</v>
      </c>
      <c r="R45" t="s">
        <v>58</v>
      </c>
      <c r="T45" t="s">
        <v>26</v>
      </c>
      <c r="U45">
        <v>1560</v>
      </c>
      <c r="V45">
        <f t="shared" si="4"/>
        <v>758.16000000000008</v>
      </c>
    </row>
    <row r="46" spans="1:22" x14ac:dyDescent="0.25">
      <c r="A46" t="s">
        <v>149</v>
      </c>
      <c r="B46" t="s">
        <v>150</v>
      </c>
      <c r="C46" t="s">
        <v>24</v>
      </c>
      <c r="D46" t="s">
        <v>57</v>
      </c>
      <c r="E46">
        <v>180</v>
      </c>
      <c r="F46">
        <v>27</v>
      </c>
      <c r="G46">
        <v>27</v>
      </c>
      <c r="H46" s="2">
        <v>0.27</v>
      </c>
      <c r="I46">
        <v>10</v>
      </c>
      <c r="J46">
        <v>10</v>
      </c>
      <c r="K46" s="1">
        <f t="shared" si="0"/>
        <v>1</v>
      </c>
      <c r="L46">
        <v>0.2</v>
      </c>
      <c r="M46" s="1">
        <f t="shared" si="1"/>
        <v>1.2</v>
      </c>
      <c r="N46" s="1">
        <f t="shared" si="2"/>
        <v>48.300000000000004</v>
      </c>
      <c r="O46" s="1">
        <v>32.200000000000003</v>
      </c>
      <c r="P46">
        <f t="shared" si="3"/>
        <v>1.5</v>
      </c>
      <c r="Q46" t="s">
        <v>26</v>
      </c>
      <c r="R46" t="s">
        <v>64</v>
      </c>
      <c r="S46" t="s">
        <v>39</v>
      </c>
      <c r="T46" t="s">
        <v>26</v>
      </c>
      <c r="U46">
        <v>1565</v>
      </c>
      <c r="V46">
        <f t="shared" si="4"/>
        <v>760.59</v>
      </c>
    </row>
    <row r="47" spans="1:22" x14ac:dyDescent="0.25">
      <c r="A47" t="s">
        <v>151</v>
      </c>
      <c r="B47" t="s">
        <v>152</v>
      </c>
      <c r="C47" t="s">
        <v>24</v>
      </c>
      <c r="D47" t="s">
        <v>57</v>
      </c>
      <c r="E47">
        <v>180</v>
      </c>
      <c r="F47">
        <v>27</v>
      </c>
      <c r="G47">
        <v>27</v>
      </c>
      <c r="H47" s="2">
        <v>0.27</v>
      </c>
      <c r="I47">
        <v>10</v>
      </c>
      <c r="J47">
        <v>10</v>
      </c>
      <c r="K47" s="1">
        <f t="shared" si="0"/>
        <v>1</v>
      </c>
      <c r="L47">
        <v>0.2</v>
      </c>
      <c r="M47" s="1">
        <f t="shared" si="1"/>
        <v>1.2</v>
      </c>
      <c r="N47" s="1">
        <f t="shared" si="2"/>
        <v>52.005000000000003</v>
      </c>
      <c r="O47" s="1">
        <v>34.67</v>
      </c>
      <c r="P47">
        <f t="shared" si="3"/>
        <v>1.5</v>
      </c>
      <c r="Q47" t="s">
        <v>26</v>
      </c>
      <c r="R47" t="s">
        <v>67</v>
      </c>
      <c r="S47" t="s">
        <v>47</v>
      </c>
      <c r="T47" t="s">
        <v>26</v>
      </c>
      <c r="U47">
        <v>1570</v>
      </c>
      <c r="V47">
        <f t="shared" si="4"/>
        <v>763.02</v>
      </c>
    </row>
    <row r="48" spans="1:22" x14ac:dyDescent="0.25">
      <c r="A48" t="s">
        <v>153</v>
      </c>
      <c r="B48" t="s">
        <v>154</v>
      </c>
      <c r="C48" t="s">
        <v>24</v>
      </c>
      <c r="D48" t="s">
        <v>57</v>
      </c>
      <c r="E48">
        <v>180</v>
      </c>
      <c r="F48">
        <v>27</v>
      </c>
      <c r="G48">
        <v>27</v>
      </c>
      <c r="H48" s="2">
        <v>0.27</v>
      </c>
      <c r="I48">
        <v>10</v>
      </c>
      <c r="J48">
        <v>10</v>
      </c>
      <c r="K48" s="1">
        <f t="shared" si="0"/>
        <v>1</v>
      </c>
      <c r="L48">
        <v>0.2</v>
      </c>
      <c r="M48" s="1">
        <f t="shared" si="1"/>
        <v>1.2</v>
      </c>
      <c r="N48" s="1">
        <f t="shared" si="2"/>
        <v>52.005000000000003</v>
      </c>
      <c r="O48" s="1">
        <v>34.67</v>
      </c>
      <c r="P48">
        <f t="shared" si="3"/>
        <v>1.5</v>
      </c>
      <c r="Q48" t="s">
        <v>26</v>
      </c>
      <c r="R48" t="s">
        <v>70</v>
      </c>
      <c r="S48" t="s">
        <v>48</v>
      </c>
      <c r="T48" t="s">
        <v>26</v>
      </c>
      <c r="U48">
        <v>1575</v>
      </c>
      <c r="V48">
        <f t="shared" si="4"/>
        <v>765.44999999999993</v>
      </c>
    </row>
    <row r="49" spans="1:22" x14ac:dyDescent="0.25">
      <c r="A49" t="s">
        <v>155</v>
      </c>
      <c r="B49" t="s">
        <v>156</v>
      </c>
      <c r="C49" t="s">
        <v>24</v>
      </c>
      <c r="D49" t="s">
        <v>25</v>
      </c>
      <c r="E49">
        <v>250</v>
      </c>
      <c r="F49">
        <v>30</v>
      </c>
      <c r="G49">
        <v>27</v>
      </c>
      <c r="H49" s="2">
        <v>0.27</v>
      </c>
      <c r="I49">
        <v>16</v>
      </c>
      <c r="J49">
        <v>18</v>
      </c>
      <c r="K49" s="1">
        <f t="shared" si="0"/>
        <v>0.88888888888888884</v>
      </c>
      <c r="L49">
        <v>0.2</v>
      </c>
      <c r="M49" s="1">
        <f t="shared" si="1"/>
        <v>1.1777777777777778</v>
      </c>
      <c r="N49" s="1">
        <f t="shared" si="2"/>
        <v>48.75</v>
      </c>
      <c r="O49" s="1">
        <v>32.5</v>
      </c>
      <c r="P49">
        <f t="shared" si="3"/>
        <v>1.5</v>
      </c>
      <c r="Q49" t="s">
        <v>26</v>
      </c>
      <c r="R49" t="s">
        <v>78</v>
      </c>
      <c r="S49" t="s">
        <v>51</v>
      </c>
      <c r="T49" t="s">
        <v>26</v>
      </c>
      <c r="U49">
        <v>1580</v>
      </c>
      <c r="V49">
        <f t="shared" si="4"/>
        <v>753.66000000000008</v>
      </c>
    </row>
    <row r="50" spans="1:22" x14ac:dyDescent="0.25">
      <c r="A50" t="s">
        <v>157</v>
      </c>
      <c r="B50" t="s">
        <v>158</v>
      </c>
      <c r="C50" t="s">
        <v>24</v>
      </c>
      <c r="D50" t="s">
        <v>25</v>
      </c>
      <c r="E50">
        <v>250</v>
      </c>
      <c r="F50">
        <v>30</v>
      </c>
      <c r="G50">
        <v>27</v>
      </c>
      <c r="H50" s="2">
        <v>0.27</v>
      </c>
      <c r="I50">
        <v>16</v>
      </c>
      <c r="J50">
        <v>18</v>
      </c>
      <c r="K50" s="1">
        <f t="shared" si="0"/>
        <v>0.88888888888888884</v>
      </c>
      <c r="L50">
        <v>0.2</v>
      </c>
      <c r="M50" s="1">
        <f t="shared" si="1"/>
        <v>1.1777777777777778</v>
      </c>
      <c r="N50" s="1">
        <f t="shared" si="2"/>
        <v>52.005000000000003</v>
      </c>
      <c r="O50" s="1">
        <v>34.67</v>
      </c>
      <c r="P50">
        <f t="shared" si="3"/>
        <v>1.5</v>
      </c>
      <c r="Q50" t="s">
        <v>26</v>
      </c>
      <c r="R50" t="s">
        <v>159</v>
      </c>
      <c r="S50" t="s">
        <v>63</v>
      </c>
      <c r="T50" t="s">
        <v>26</v>
      </c>
      <c r="U50">
        <v>1585</v>
      </c>
      <c r="V50">
        <f t="shared" si="4"/>
        <v>756.04500000000007</v>
      </c>
    </row>
    <row r="51" spans="1:22" x14ac:dyDescent="0.25">
      <c r="A51" t="s">
        <v>160</v>
      </c>
      <c r="B51" t="s">
        <v>161</v>
      </c>
      <c r="C51" t="s">
        <v>24</v>
      </c>
      <c r="D51" t="s">
        <v>25</v>
      </c>
      <c r="E51">
        <v>250</v>
      </c>
      <c r="F51">
        <v>30</v>
      </c>
      <c r="G51">
        <v>27</v>
      </c>
      <c r="H51" s="2">
        <v>0.27</v>
      </c>
      <c r="I51">
        <v>18</v>
      </c>
      <c r="J51">
        <v>18</v>
      </c>
      <c r="K51" s="1">
        <f t="shared" si="0"/>
        <v>1</v>
      </c>
      <c r="L51">
        <v>0.2</v>
      </c>
      <c r="M51" s="1">
        <f t="shared" si="1"/>
        <v>1.2</v>
      </c>
      <c r="N51" s="1">
        <f t="shared" si="2"/>
        <v>48.75</v>
      </c>
      <c r="O51" s="1">
        <v>32.5</v>
      </c>
      <c r="P51">
        <f t="shared" si="3"/>
        <v>1.5</v>
      </c>
      <c r="Q51" t="s">
        <v>26</v>
      </c>
      <c r="R51" t="s">
        <v>162</v>
      </c>
      <c r="S51" t="s">
        <v>64</v>
      </c>
      <c r="T51" t="s">
        <v>26</v>
      </c>
      <c r="U51">
        <v>1590</v>
      </c>
      <c r="V51">
        <f t="shared" si="4"/>
        <v>772.74</v>
      </c>
    </row>
    <row r="52" spans="1:22" x14ac:dyDescent="0.25">
      <c r="A52" t="s">
        <v>163</v>
      </c>
      <c r="B52" t="s">
        <v>164</v>
      </c>
      <c r="C52" t="s">
        <v>24</v>
      </c>
      <c r="D52" t="s">
        <v>57</v>
      </c>
      <c r="E52">
        <v>180</v>
      </c>
      <c r="F52">
        <v>27</v>
      </c>
      <c r="G52">
        <v>27</v>
      </c>
      <c r="H52" s="2">
        <v>0.27</v>
      </c>
      <c r="I52">
        <v>9</v>
      </c>
      <c r="J52">
        <v>10</v>
      </c>
      <c r="K52" s="1">
        <f t="shared" si="0"/>
        <v>0.9</v>
      </c>
      <c r="L52">
        <v>0.2</v>
      </c>
      <c r="M52" s="1">
        <f t="shared" si="1"/>
        <v>1.18</v>
      </c>
      <c r="N52" s="1">
        <f t="shared" si="2"/>
        <v>49.755000000000003</v>
      </c>
      <c r="O52" s="1">
        <v>33.17</v>
      </c>
      <c r="P52">
        <f t="shared" si="3"/>
        <v>1.5</v>
      </c>
      <c r="Q52" t="s">
        <v>26</v>
      </c>
      <c r="R52" t="s">
        <v>79</v>
      </c>
      <c r="S52" t="s">
        <v>70</v>
      </c>
      <c r="T52" t="s">
        <v>26</v>
      </c>
      <c r="U52">
        <v>1595</v>
      </c>
      <c r="V52">
        <f t="shared" si="4"/>
        <v>762.25049999999999</v>
      </c>
    </row>
    <row r="53" spans="1:22" x14ac:dyDescent="0.25">
      <c r="A53" t="s">
        <v>165</v>
      </c>
      <c r="B53" t="s">
        <v>166</v>
      </c>
      <c r="C53" t="s">
        <v>24</v>
      </c>
      <c r="D53" t="s">
        <v>57</v>
      </c>
      <c r="E53">
        <v>180</v>
      </c>
      <c r="F53">
        <v>27</v>
      </c>
      <c r="G53">
        <v>27</v>
      </c>
      <c r="H53" s="2">
        <v>0.27</v>
      </c>
      <c r="I53">
        <v>9</v>
      </c>
      <c r="J53">
        <v>10</v>
      </c>
      <c r="K53" s="1">
        <f t="shared" si="0"/>
        <v>0.9</v>
      </c>
      <c r="L53">
        <v>0.2</v>
      </c>
      <c r="M53" s="1">
        <f t="shared" si="1"/>
        <v>1.18</v>
      </c>
      <c r="N53" s="1">
        <f t="shared" si="2"/>
        <v>40.244999999999997</v>
      </c>
      <c r="O53" s="1">
        <v>26.83</v>
      </c>
      <c r="P53">
        <f t="shared" si="3"/>
        <v>1.5</v>
      </c>
      <c r="Q53" t="s">
        <v>26</v>
      </c>
      <c r="R53" t="s">
        <v>83</v>
      </c>
      <c r="T53" t="s">
        <v>26</v>
      </c>
      <c r="U53">
        <v>1600</v>
      </c>
      <c r="V53">
        <f t="shared" si="4"/>
        <v>764.64</v>
      </c>
    </row>
    <row r="54" spans="1:22" x14ac:dyDescent="0.25">
      <c r="A54" t="s">
        <v>167</v>
      </c>
      <c r="B54" t="s">
        <v>168</v>
      </c>
      <c r="C54" t="s">
        <v>24</v>
      </c>
      <c r="D54" t="s">
        <v>57</v>
      </c>
      <c r="E54">
        <v>180</v>
      </c>
      <c r="F54">
        <v>27</v>
      </c>
      <c r="G54">
        <v>27</v>
      </c>
      <c r="H54" s="2">
        <v>0.27</v>
      </c>
      <c r="I54">
        <v>9</v>
      </c>
      <c r="J54">
        <v>10</v>
      </c>
      <c r="K54" s="1">
        <f t="shared" si="0"/>
        <v>0.9</v>
      </c>
      <c r="L54">
        <v>0.2</v>
      </c>
      <c r="M54" s="1">
        <f t="shared" si="1"/>
        <v>1.18</v>
      </c>
      <c r="N54" s="1">
        <f t="shared" si="2"/>
        <v>49.994999999999997</v>
      </c>
      <c r="O54" s="1">
        <v>33.33</v>
      </c>
      <c r="P54">
        <f t="shared" si="3"/>
        <v>1.5</v>
      </c>
      <c r="Q54" t="s">
        <v>26</v>
      </c>
      <c r="R54" t="s">
        <v>94</v>
      </c>
      <c r="S54" t="s">
        <v>79</v>
      </c>
      <c r="T54" t="s">
        <v>26</v>
      </c>
      <c r="U54">
        <v>1605</v>
      </c>
      <c r="V54">
        <f t="shared" si="4"/>
        <v>767.0295000000001</v>
      </c>
    </row>
    <row r="55" spans="1:22" x14ac:dyDescent="0.25">
      <c r="A55" t="s">
        <v>169</v>
      </c>
      <c r="B55" t="s">
        <v>170</v>
      </c>
      <c r="C55" t="s">
        <v>24</v>
      </c>
      <c r="D55" t="s">
        <v>57</v>
      </c>
      <c r="E55">
        <v>180</v>
      </c>
      <c r="F55">
        <v>27</v>
      </c>
      <c r="G55">
        <v>27</v>
      </c>
      <c r="H55" s="2">
        <v>0.27</v>
      </c>
      <c r="I55">
        <v>9</v>
      </c>
      <c r="J55">
        <v>10</v>
      </c>
      <c r="K55" s="1">
        <f t="shared" si="0"/>
        <v>0.9</v>
      </c>
      <c r="L55">
        <v>0.2</v>
      </c>
      <c r="M55" s="1">
        <f t="shared" si="1"/>
        <v>1.18</v>
      </c>
      <c r="N55" s="1">
        <f t="shared" si="2"/>
        <v>33.795000000000002</v>
      </c>
      <c r="O55" s="1">
        <v>22.53</v>
      </c>
      <c r="P55">
        <f t="shared" si="3"/>
        <v>1.5</v>
      </c>
      <c r="Q55" t="s">
        <v>26</v>
      </c>
      <c r="S55" t="s">
        <v>70</v>
      </c>
      <c r="T55" t="s">
        <v>26</v>
      </c>
      <c r="U55">
        <v>1610</v>
      </c>
      <c r="V55">
        <f t="shared" si="4"/>
        <v>769.4190000000001</v>
      </c>
    </row>
    <row r="56" spans="1:22" x14ac:dyDescent="0.25">
      <c r="A56" t="s">
        <v>171</v>
      </c>
      <c r="B56" t="s">
        <v>172</v>
      </c>
      <c r="C56" t="s">
        <v>24</v>
      </c>
      <c r="D56" t="s">
        <v>25</v>
      </c>
      <c r="E56">
        <v>250</v>
      </c>
      <c r="F56">
        <v>30</v>
      </c>
      <c r="G56">
        <v>27</v>
      </c>
      <c r="H56" s="2">
        <v>0.27</v>
      </c>
      <c r="I56">
        <v>18</v>
      </c>
      <c r="J56">
        <v>18</v>
      </c>
      <c r="K56" s="1">
        <f t="shared" si="0"/>
        <v>1</v>
      </c>
      <c r="L56">
        <v>0.2</v>
      </c>
      <c r="M56" s="1">
        <f t="shared" si="1"/>
        <v>1.2</v>
      </c>
      <c r="N56" s="1">
        <f t="shared" si="2"/>
        <v>48.300000000000004</v>
      </c>
      <c r="O56" s="1">
        <v>32.200000000000003</v>
      </c>
      <c r="P56">
        <f t="shared" si="3"/>
        <v>1.5</v>
      </c>
      <c r="Q56" t="s">
        <v>26</v>
      </c>
      <c r="R56" t="s">
        <v>88</v>
      </c>
      <c r="S56" t="s">
        <v>44</v>
      </c>
      <c r="T56" t="s">
        <v>26</v>
      </c>
      <c r="U56">
        <v>1615</v>
      </c>
      <c r="V56">
        <f t="shared" si="4"/>
        <v>784.89</v>
      </c>
    </row>
    <row r="57" spans="1:22" x14ac:dyDescent="0.25">
      <c r="A57" t="s">
        <v>173</v>
      </c>
      <c r="B57" t="s">
        <v>174</v>
      </c>
      <c r="C57" t="s">
        <v>24</v>
      </c>
      <c r="D57" t="s">
        <v>25</v>
      </c>
      <c r="E57">
        <v>250</v>
      </c>
      <c r="F57">
        <v>30</v>
      </c>
      <c r="G57">
        <v>27</v>
      </c>
      <c r="H57" s="2">
        <v>0.27</v>
      </c>
      <c r="I57">
        <v>18</v>
      </c>
      <c r="J57">
        <v>18</v>
      </c>
      <c r="K57" s="1">
        <f t="shared" si="0"/>
        <v>1</v>
      </c>
      <c r="L57">
        <v>0.2</v>
      </c>
      <c r="M57" s="1">
        <f t="shared" si="1"/>
        <v>1.2</v>
      </c>
      <c r="N57" s="1">
        <f t="shared" si="2"/>
        <v>52.005000000000003</v>
      </c>
      <c r="O57" s="1">
        <v>34.67</v>
      </c>
      <c r="P57">
        <f t="shared" si="3"/>
        <v>1.5</v>
      </c>
      <c r="Q57" t="s">
        <v>26</v>
      </c>
      <c r="R57" t="s">
        <v>104</v>
      </c>
      <c r="S57" t="s">
        <v>88</v>
      </c>
      <c r="T57" t="s">
        <v>26</v>
      </c>
      <c r="U57">
        <v>1620</v>
      </c>
      <c r="V57">
        <f t="shared" si="4"/>
        <v>787.32</v>
      </c>
    </row>
    <row r="58" spans="1:22" x14ac:dyDescent="0.25">
      <c r="A58" t="s">
        <v>175</v>
      </c>
      <c r="B58" t="s">
        <v>176</v>
      </c>
      <c r="C58" t="s">
        <v>24</v>
      </c>
      <c r="D58" t="s">
        <v>57</v>
      </c>
      <c r="E58">
        <v>180</v>
      </c>
      <c r="F58">
        <v>27</v>
      </c>
      <c r="G58">
        <v>27</v>
      </c>
      <c r="H58" s="2">
        <v>0.27</v>
      </c>
      <c r="I58">
        <v>9</v>
      </c>
      <c r="J58">
        <v>10</v>
      </c>
      <c r="K58" s="1">
        <f t="shared" si="0"/>
        <v>0.9</v>
      </c>
      <c r="L58">
        <v>0.2</v>
      </c>
      <c r="M58" s="1">
        <f t="shared" si="1"/>
        <v>1.18</v>
      </c>
      <c r="N58" s="1">
        <f t="shared" si="2"/>
        <v>52.005000000000003</v>
      </c>
      <c r="O58" s="1">
        <v>34.67</v>
      </c>
      <c r="P58">
        <f t="shared" si="3"/>
        <v>1.5</v>
      </c>
      <c r="Q58" t="s">
        <v>26</v>
      </c>
      <c r="R58" t="s">
        <v>91</v>
      </c>
      <c r="S58" t="s">
        <v>104</v>
      </c>
      <c r="T58" t="s">
        <v>26</v>
      </c>
      <c r="U58">
        <v>1625</v>
      </c>
      <c r="V58">
        <f t="shared" si="4"/>
        <v>776.58750000000009</v>
      </c>
    </row>
    <row r="59" spans="1:22" x14ac:dyDescent="0.25">
      <c r="A59" t="s">
        <v>177</v>
      </c>
      <c r="B59" t="s">
        <v>178</v>
      </c>
      <c r="C59" t="s">
        <v>24</v>
      </c>
      <c r="D59" t="s">
        <v>57</v>
      </c>
      <c r="E59">
        <v>180</v>
      </c>
      <c r="F59">
        <v>27</v>
      </c>
      <c r="G59">
        <v>27</v>
      </c>
      <c r="H59" s="2">
        <v>0.27</v>
      </c>
      <c r="I59">
        <v>9</v>
      </c>
      <c r="J59">
        <v>10</v>
      </c>
      <c r="K59" s="1">
        <f t="shared" si="0"/>
        <v>0.9</v>
      </c>
      <c r="L59">
        <v>0.2</v>
      </c>
      <c r="M59" s="1">
        <f t="shared" si="1"/>
        <v>1.18</v>
      </c>
      <c r="N59" s="1">
        <f t="shared" si="2"/>
        <v>48.75</v>
      </c>
      <c r="O59" s="1">
        <v>32.5</v>
      </c>
      <c r="P59">
        <f t="shared" si="3"/>
        <v>1.5</v>
      </c>
      <c r="Q59" t="s">
        <v>26</v>
      </c>
      <c r="R59" t="s">
        <v>95</v>
      </c>
      <c r="S59" t="s">
        <v>91</v>
      </c>
      <c r="T59" t="s">
        <v>26</v>
      </c>
      <c r="U59">
        <v>1630</v>
      </c>
      <c r="V59">
        <f t="shared" si="4"/>
        <v>778.97700000000009</v>
      </c>
    </row>
    <row r="60" spans="1:22" x14ac:dyDescent="0.25">
      <c r="A60" t="s">
        <v>179</v>
      </c>
      <c r="B60" t="s">
        <v>180</v>
      </c>
      <c r="C60" t="s">
        <v>24</v>
      </c>
      <c r="D60" t="s">
        <v>57</v>
      </c>
      <c r="E60">
        <v>180</v>
      </c>
      <c r="F60">
        <v>27</v>
      </c>
      <c r="G60">
        <v>27</v>
      </c>
      <c r="H60" s="2">
        <v>0.27</v>
      </c>
      <c r="I60">
        <v>10</v>
      </c>
      <c r="J60">
        <v>10</v>
      </c>
      <c r="K60" s="1">
        <f t="shared" si="0"/>
        <v>1</v>
      </c>
      <c r="L60">
        <v>0.2</v>
      </c>
      <c r="M60" s="1">
        <f t="shared" si="1"/>
        <v>1.2</v>
      </c>
      <c r="N60" s="1">
        <f t="shared" si="2"/>
        <v>58.005000000000003</v>
      </c>
      <c r="O60" s="1">
        <v>38.67</v>
      </c>
      <c r="P60">
        <f t="shared" si="3"/>
        <v>1.5</v>
      </c>
      <c r="Q60" t="s">
        <v>26</v>
      </c>
      <c r="R60" t="s">
        <v>98</v>
      </c>
      <c r="S60" t="s">
        <v>95</v>
      </c>
      <c r="T60" t="s">
        <v>26</v>
      </c>
      <c r="U60">
        <v>1635</v>
      </c>
      <c r="V60">
        <f t="shared" si="4"/>
        <v>794.61</v>
      </c>
    </row>
    <row r="61" spans="1:22" x14ac:dyDescent="0.25">
      <c r="A61" t="s">
        <v>181</v>
      </c>
      <c r="B61" t="s">
        <v>182</v>
      </c>
      <c r="C61" t="s">
        <v>24</v>
      </c>
      <c r="D61" t="s">
        <v>57</v>
      </c>
      <c r="E61">
        <v>180</v>
      </c>
      <c r="F61">
        <v>27</v>
      </c>
      <c r="G61">
        <v>27</v>
      </c>
      <c r="H61" s="2">
        <v>0.27</v>
      </c>
      <c r="I61">
        <v>10</v>
      </c>
      <c r="J61">
        <v>10</v>
      </c>
      <c r="K61" s="1">
        <f t="shared" si="0"/>
        <v>1</v>
      </c>
      <c r="L61">
        <v>0.2</v>
      </c>
      <c r="M61" s="1">
        <f t="shared" si="1"/>
        <v>1.2</v>
      </c>
      <c r="N61" s="1">
        <f t="shared" si="2"/>
        <v>48.75</v>
      </c>
      <c r="O61" s="1">
        <v>32.5</v>
      </c>
      <c r="P61">
        <f t="shared" si="3"/>
        <v>1.5</v>
      </c>
      <c r="Q61" t="s">
        <v>26</v>
      </c>
      <c r="R61" t="s">
        <v>114</v>
      </c>
      <c r="S61" t="s">
        <v>98</v>
      </c>
      <c r="T61" t="s">
        <v>26</v>
      </c>
      <c r="U61">
        <v>1640</v>
      </c>
      <c r="V61">
        <f t="shared" si="4"/>
        <v>797.04000000000008</v>
      </c>
    </row>
    <row r="62" spans="1:22" x14ac:dyDescent="0.25">
      <c r="A62" t="s">
        <v>183</v>
      </c>
      <c r="B62" t="s">
        <v>184</v>
      </c>
      <c r="C62" t="s">
        <v>24</v>
      </c>
      <c r="D62" t="s">
        <v>25</v>
      </c>
      <c r="E62">
        <v>250</v>
      </c>
      <c r="F62">
        <v>30</v>
      </c>
      <c r="G62">
        <v>27</v>
      </c>
      <c r="H62" s="2">
        <v>0.27</v>
      </c>
      <c r="I62">
        <v>16</v>
      </c>
      <c r="J62">
        <v>18</v>
      </c>
      <c r="K62" s="1">
        <f t="shared" si="0"/>
        <v>0.88888888888888884</v>
      </c>
      <c r="L62">
        <v>0.2</v>
      </c>
      <c r="M62" s="1">
        <f t="shared" si="1"/>
        <v>1.1777777777777778</v>
      </c>
      <c r="N62" s="1">
        <f t="shared" si="2"/>
        <v>49.755000000000003</v>
      </c>
      <c r="O62" s="1">
        <v>33.17</v>
      </c>
      <c r="P62">
        <f t="shared" si="3"/>
        <v>1.5</v>
      </c>
      <c r="Q62" t="s">
        <v>26</v>
      </c>
      <c r="R62" t="s">
        <v>101</v>
      </c>
      <c r="S62" t="s">
        <v>114</v>
      </c>
      <c r="T62" t="s">
        <v>26</v>
      </c>
      <c r="U62">
        <v>1645</v>
      </c>
      <c r="V62">
        <f t="shared" si="4"/>
        <v>784.66500000000008</v>
      </c>
    </row>
    <row r="63" spans="1:22" x14ac:dyDescent="0.25">
      <c r="A63" t="s">
        <v>185</v>
      </c>
      <c r="B63" t="s">
        <v>186</v>
      </c>
      <c r="C63" t="s">
        <v>24</v>
      </c>
      <c r="D63" t="s">
        <v>25</v>
      </c>
      <c r="E63">
        <v>250</v>
      </c>
      <c r="F63">
        <v>30</v>
      </c>
      <c r="G63">
        <v>27</v>
      </c>
      <c r="H63" s="2">
        <v>0.27</v>
      </c>
      <c r="I63">
        <v>16</v>
      </c>
      <c r="J63">
        <v>18</v>
      </c>
      <c r="K63" s="1">
        <f t="shared" si="0"/>
        <v>0.88888888888888884</v>
      </c>
      <c r="L63">
        <v>0.2</v>
      </c>
      <c r="M63" s="1">
        <f t="shared" si="1"/>
        <v>1.1777777777777778</v>
      </c>
      <c r="N63" s="1">
        <f t="shared" si="2"/>
        <v>40.244999999999997</v>
      </c>
      <c r="O63" s="1">
        <v>26.83</v>
      </c>
      <c r="P63">
        <f t="shared" si="3"/>
        <v>1.5</v>
      </c>
      <c r="Q63" t="s">
        <v>26</v>
      </c>
      <c r="R63" t="s">
        <v>105</v>
      </c>
      <c r="S63" t="s">
        <v>101</v>
      </c>
      <c r="T63" t="s">
        <v>26</v>
      </c>
      <c r="U63">
        <v>1650</v>
      </c>
      <c r="V63">
        <f t="shared" si="4"/>
        <v>787.05000000000018</v>
      </c>
    </row>
    <row r="64" spans="1:22" x14ac:dyDescent="0.25">
      <c r="A64" t="s">
        <v>187</v>
      </c>
      <c r="B64" t="s">
        <v>188</v>
      </c>
      <c r="C64" t="s">
        <v>24</v>
      </c>
      <c r="D64" t="s">
        <v>57</v>
      </c>
      <c r="E64">
        <v>180</v>
      </c>
      <c r="F64">
        <v>27</v>
      </c>
      <c r="G64">
        <v>27</v>
      </c>
      <c r="H64" s="2">
        <v>0.27</v>
      </c>
      <c r="I64">
        <v>10</v>
      </c>
      <c r="J64">
        <v>10</v>
      </c>
      <c r="K64" s="1">
        <f t="shared" si="0"/>
        <v>1</v>
      </c>
      <c r="L64">
        <v>0.2</v>
      </c>
      <c r="M64" s="1">
        <f t="shared" si="1"/>
        <v>1.2</v>
      </c>
      <c r="N64" s="1">
        <f t="shared" si="2"/>
        <v>49.994999999999997</v>
      </c>
      <c r="O64" s="1">
        <v>33.33</v>
      </c>
      <c r="P64">
        <f t="shared" si="3"/>
        <v>1.5</v>
      </c>
      <c r="Q64" t="s">
        <v>26</v>
      </c>
      <c r="R64" t="s">
        <v>121</v>
      </c>
      <c r="S64" t="s">
        <v>105</v>
      </c>
      <c r="T64" t="s">
        <v>26</v>
      </c>
      <c r="U64">
        <v>1655</v>
      </c>
      <c r="V64">
        <f t="shared" si="4"/>
        <v>804.33</v>
      </c>
    </row>
    <row r="65" spans="1:22" x14ac:dyDescent="0.25">
      <c r="A65" t="s">
        <v>189</v>
      </c>
      <c r="B65" t="s">
        <v>190</v>
      </c>
      <c r="C65" t="s">
        <v>24</v>
      </c>
      <c r="D65" t="s">
        <v>57</v>
      </c>
      <c r="E65">
        <v>180</v>
      </c>
      <c r="F65">
        <v>27</v>
      </c>
      <c r="G65">
        <v>27</v>
      </c>
      <c r="H65" s="2">
        <v>0.27</v>
      </c>
      <c r="I65">
        <v>10</v>
      </c>
      <c r="J65">
        <v>10</v>
      </c>
      <c r="K65" s="1">
        <f t="shared" si="0"/>
        <v>1</v>
      </c>
      <c r="L65">
        <v>0.2</v>
      </c>
      <c r="M65" s="1">
        <f t="shared" si="1"/>
        <v>1.2</v>
      </c>
      <c r="N65" s="1">
        <f t="shared" si="2"/>
        <v>33.795000000000002</v>
      </c>
      <c r="O65" s="1">
        <v>22.53</v>
      </c>
      <c r="P65">
        <f t="shared" si="3"/>
        <v>1.5</v>
      </c>
      <c r="Q65" t="s">
        <v>26</v>
      </c>
      <c r="R65" t="s">
        <v>124</v>
      </c>
      <c r="T65" t="s">
        <v>26</v>
      </c>
      <c r="U65">
        <v>1660</v>
      </c>
      <c r="V65">
        <f t="shared" si="4"/>
        <v>806.7600000000001</v>
      </c>
    </row>
    <row r="66" spans="1:22" x14ac:dyDescent="0.25">
      <c r="A66" t="s">
        <v>191</v>
      </c>
      <c r="B66" t="s">
        <v>192</v>
      </c>
      <c r="C66" t="s">
        <v>24</v>
      </c>
      <c r="D66" t="s">
        <v>57</v>
      </c>
      <c r="E66">
        <v>180</v>
      </c>
      <c r="F66">
        <v>27</v>
      </c>
      <c r="G66">
        <v>27</v>
      </c>
      <c r="H66" s="2">
        <v>0.27</v>
      </c>
      <c r="I66">
        <v>10</v>
      </c>
      <c r="J66">
        <v>10</v>
      </c>
      <c r="K66" s="1">
        <f t="shared" si="0"/>
        <v>1</v>
      </c>
      <c r="L66">
        <v>0.2</v>
      </c>
      <c r="M66" s="1">
        <f t="shared" si="1"/>
        <v>1.2</v>
      </c>
      <c r="N66" s="1">
        <f t="shared" si="2"/>
        <v>48.300000000000004</v>
      </c>
      <c r="O66" s="1">
        <v>32.200000000000003</v>
      </c>
      <c r="P66">
        <f t="shared" si="3"/>
        <v>1.5</v>
      </c>
      <c r="Q66" t="s">
        <v>26</v>
      </c>
      <c r="R66" t="s">
        <v>31</v>
      </c>
      <c r="S66" t="s">
        <v>124</v>
      </c>
      <c r="T66" t="s">
        <v>26</v>
      </c>
      <c r="U66">
        <v>1665</v>
      </c>
      <c r="V66">
        <f t="shared" si="4"/>
        <v>809.19</v>
      </c>
    </row>
    <row r="67" spans="1:22" x14ac:dyDescent="0.25">
      <c r="A67" t="s">
        <v>193</v>
      </c>
      <c r="B67" t="s">
        <v>194</v>
      </c>
      <c r="C67" t="s">
        <v>24</v>
      </c>
      <c r="D67" t="s">
        <v>57</v>
      </c>
      <c r="E67">
        <v>180</v>
      </c>
      <c r="F67">
        <v>27</v>
      </c>
      <c r="G67">
        <v>27</v>
      </c>
      <c r="H67" s="2">
        <v>0.27</v>
      </c>
      <c r="I67">
        <v>10</v>
      </c>
      <c r="J67">
        <v>10</v>
      </c>
      <c r="K67" s="1">
        <f t="shared" ref="K67:K117" si="5">I67/J67</f>
        <v>1</v>
      </c>
      <c r="L67">
        <v>0.2</v>
      </c>
      <c r="M67" s="1">
        <f t="shared" ref="M67:M117" si="6">1+L67*K67</f>
        <v>1.2</v>
      </c>
      <c r="N67" s="1">
        <f t="shared" ref="N67:N117" si="7">O67*1.5</f>
        <v>52.005000000000003</v>
      </c>
      <c r="O67" s="1">
        <v>34.67</v>
      </c>
      <c r="P67">
        <f t="shared" ref="P67:P117" si="8">N67/O67</f>
        <v>1.5</v>
      </c>
      <c r="Q67" t="s">
        <v>26</v>
      </c>
      <c r="S67" t="s">
        <v>70</v>
      </c>
      <c r="T67" t="s">
        <v>26</v>
      </c>
      <c r="U67">
        <v>1670</v>
      </c>
      <c r="V67">
        <f t="shared" ref="V67:V116" si="9">U67*H67*P67*M67</f>
        <v>811.62</v>
      </c>
    </row>
    <row r="68" spans="1:22" x14ac:dyDescent="0.25">
      <c r="A68" t="s">
        <v>195</v>
      </c>
      <c r="B68" t="s">
        <v>196</v>
      </c>
      <c r="C68" t="s">
        <v>24</v>
      </c>
      <c r="D68" t="s">
        <v>25</v>
      </c>
      <c r="E68">
        <v>250</v>
      </c>
      <c r="F68">
        <v>30</v>
      </c>
      <c r="G68">
        <v>27</v>
      </c>
      <c r="H68" s="2">
        <v>0.27</v>
      </c>
      <c r="I68">
        <v>17</v>
      </c>
      <c r="J68">
        <v>18</v>
      </c>
      <c r="K68" s="1">
        <f t="shared" si="5"/>
        <v>0.94444444444444442</v>
      </c>
      <c r="L68">
        <v>0.2</v>
      </c>
      <c r="M68" s="1">
        <f t="shared" si="6"/>
        <v>1.1888888888888889</v>
      </c>
      <c r="N68" s="1">
        <f t="shared" si="7"/>
        <v>52.005000000000003</v>
      </c>
      <c r="O68" s="1">
        <v>34.67</v>
      </c>
      <c r="P68">
        <f t="shared" si="8"/>
        <v>1.5</v>
      </c>
      <c r="Q68" t="s">
        <v>26</v>
      </c>
      <c r="R68" t="s">
        <v>36</v>
      </c>
      <c r="S68" t="s">
        <v>35</v>
      </c>
      <c r="T68" t="s">
        <v>26</v>
      </c>
      <c r="U68">
        <v>1675</v>
      </c>
      <c r="V68">
        <f t="shared" si="9"/>
        <v>806.51250000000016</v>
      </c>
    </row>
    <row r="69" spans="1:22" x14ac:dyDescent="0.25">
      <c r="A69" t="s">
        <v>197</v>
      </c>
      <c r="B69" t="s">
        <v>198</v>
      </c>
      <c r="C69" t="s">
        <v>24</v>
      </c>
      <c r="D69" t="s">
        <v>25</v>
      </c>
      <c r="E69">
        <v>250</v>
      </c>
      <c r="F69">
        <v>30</v>
      </c>
      <c r="G69">
        <v>27</v>
      </c>
      <c r="H69" s="2">
        <v>0.27</v>
      </c>
      <c r="I69">
        <v>16</v>
      </c>
      <c r="J69">
        <v>18</v>
      </c>
      <c r="K69" s="1">
        <f t="shared" si="5"/>
        <v>0.88888888888888884</v>
      </c>
      <c r="L69">
        <v>0.2</v>
      </c>
      <c r="M69" s="1">
        <f t="shared" si="6"/>
        <v>1.1777777777777778</v>
      </c>
      <c r="N69" s="1">
        <f t="shared" si="7"/>
        <v>48.75</v>
      </c>
      <c r="O69" s="1">
        <v>32.5</v>
      </c>
      <c r="P69">
        <f t="shared" si="8"/>
        <v>1.5</v>
      </c>
      <c r="Q69" t="s">
        <v>26</v>
      </c>
      <c r="R69" t="s">
        <v>39</v>
      </c>
      <c r="S69" t="s">
        <v>36</v>
      </c>
      <c r="T69" t="s">
        <v>26</v>
      </c>
      <c r="U69">
        <v>1680</v>
      </c>
      <c r="V69">
        <f t="shared" si="9"/>
        <v>801.36000000000013</v>
      </c>
    </row>
    <row r="70" spans="1:22" x14ac:dyDescent="0.25">
      <c r="A70" t="s">
        <v>199</v>
      </c>
      <c r="B70" t="s">
        <v>200</v>
      </c>
      <c r="C70" t="s">
        <v>24</v>
      </c>
      <c r="D70" t="s">
        <v>57</v>
      </c>
      <c r="E70">
        <v>180</v>
      </c>
      <c r="F70">
        <v>27</v>
      </c>
      <c r="G70">
        <v>27</v>
      </c>
      <c r="H70" s="2">
        <v>0.27</v>
      </c>
      <c r="I70">
        <v>10</v>
      </c>
      <c r="J70">
        <v>10</v>
      </c>
      <c r="K70" s="1">
        <f t="shared" si="5"/>
        <v>1</v>
      </c>
      <c r="L70">
        <v>0.2</v>
      </c>
      <c r="M70" s="1">
        <f t="shared" si="6"/>
        <v>1.2</v>
      </c>
      <c r="N70" s="1">
        <f t="shared" si="7"/>
        <v>55.005000000000003</v>
      </c>
      <c r="O70" s="1">
        <v>36.67</v>
      </c>
      <c r="P70">
        <f t="shared" si="8"/>
        <v>1.5</v>
      </c>
      <c r="Q70" t="s">
        <v>26</v>
      </c>
      <c r="R70" t="s">
        <v>43</v>
      </c>
      <c r="S70" t="s">
        <v>39</v>
      </c>
      <c r="T70" t="s">
        <v>26</v>
      </c>
      <c r="U70">
        <v>1685</v>
      </c>
      <c r="V70">
        <f t="shared" si="9"/>
        <v>818.91000000000008</v>
      </c>
    </row>
    <row r="71" spans="1:22" x14ac:dyDescent="0.25">
      <c r="A71" t="s">
        <v>201</v>
      </c>
      <c r="B71" t="s">
        <v>202</v>
      </c>
      <c r="C71" t="s">
        <v>24</v>
      </c>
      <c r="D71" t="s">
        <v>57</v>
      </c>
      <c r="E71">
        <v>180</v>
      </c>
      <c r="F71">
        <v>27</v>
      </c>
      <c r="G71">
        <v>27</v>
      </c>
      <c r="H71" s="2">
        <v>0.27</v>
      </c>
      <c r="I71">
        <v>9</v>
      </c>
      <c r="J71">
        <v>10</v>
      </c>
      <c r="K71" s="1">
        <f t="shared" si="5"/>
        <v>0.9</v>
      </c>
      <c r="L71">
        <v>0.2</v>
      </c>
      <c r="M71" s="1">
        <f t="shared" si="6"/>
        <v>1.18</v>
      </c>
      <c r="N71" s="1">
        <f t="shared" si="7"/>
        <v>48.75</v>
      </c>
      <c r="O71" s="1">
        <v>32.5</v>
      </c>
      <c r="P71">
        <f t="shared" si="8"/>
        <v>1.5</v>
      </c>
      <c r="Q71" t="s">
        <v>26</v>
      </c>
      <c r="R71" t="s">
        <v>47</v>
      </c>
      <c r="S71" t="s">
        <v>43</v>
      </c>
      <c r="T71" t="s">
        <v>26</v>
      </c>
      <c r="U71">
        <v>1690</v>
      </c>
      <c r="V71">
        <f t="shared" si="9"/>
        <v>807.65100000000007</v>
      </c>
    </row>
    <row r="72" spans="1:22" x14ac:dyDescent="0.25">
      <c r="A72" t="s">
        <v>203</v>
      </c>
      <c r="B72" t="s">
        <v>204</v>
      </c>
      <c r="C72" t="s">
        <v>24</v>
      </c>
      <c r="D72" t="s">
        <v>57</v>
      </c>
      <c r="E72">
        <v>180</v>
      </c>
      <c r="F72">
        <v>27</v>
      </c>
      <c r="G72">
        <v>27</v>
      </c>
      <c r="H72" s="2">
        <v>0.27</v>
      </c>
      <c r="I72">
        <v>9</v>
      </c>
      <c r="J72">
        <v>10</v>
      </c>
      <c r="K72" s="1">
        <f t="shared" si="5"/>
        <v>0.9</v>
      </c>
      <c r="L72">
        <v>0.2</v>
      </c>
      <c r="M72" s="1">
        <f t="shared" si="6"/>
        <v>1.18</v>
      </c>
      <c r="N72" s="1">
        <f t="shared" si="7"/>
        <v>49.755000000000003</v>
      </c>
      <c r="O72" s="1">
        <v>33.17</v>
      </c>
      <c r="P72">
        <f t="shared" si="8"/>
        <v>1.5</v>
      </c>
      <c r="Q72" t="s">
        <v>26</v>
      </c>
      <c r="R72" t="s">
        <v>40</v>
      </c>
      <c r="S72" t="s">
        <v>47</v>
      </c>
      <c r="T72" t="s">
        <v>26</v>
      </c>
      <c r="U72">
        <v>1695</v>
      </c>
      <c r="V72">
        <f t="shared" si="9"/>
        <v>810.04049999999995</v>
      </c>
    </row>
    <row r="73" spans="1:22" x14ac:dyDescent="0.25">
      <c r="A73" t="s">
        <v>205</v>
      </c>
      <c r="B73" t="s">
        <v>206</v>
      </c>
      <c r="C73" t="s">
        <v>24</v>
      </c>
      <c r="D73" t="s">
        <v>57</v>
      </c>
      <c r="E73">
        <v>180</v>
      </c>
      <c r="F73">
        <v>27</v>
      </c>
      <c r="G73">
        <v>27</v>
      </c>
      <c r="H73" s="2">
        <v>0.27</v>
      </c>
      <c r="I73">
        <v>9</v>
      </c>
      <c r="J73">
        <v>10</v>
      </c>
      <c r="K73" s="1">
        <f t="shared" si="5"/>
        <v>0.9</v>
      </c>
      <c r="L73">
        <v>0.2</v>
      </c>
      <c r="M73" s="1">
        <f t="shared" si="6"/>
        <v>1.18</v>
      </c>
      <c r="N73" s="1">
        <f t="shared" si="7"/>
        <v>40.244999999999997</v>
      </c>
      <c r="O73" s="1">
        <v>26.83</v>
      </c>
      <c r="P73">
        <f t="shared" si="8"/>
        <v>1.5</v>
      </c>
      <c r="Q73" t="s">
        <v>26</v>
      </c>
      <c r="R73" t="s">
        <v>48</v>
      </c>
      <c r="S73" t="s">
        <v>40</v>
      </c>
      <c r="T73" t="s">
        <v>26</v>
      </c>
      <c r="U73">
        <v>1700</v>
      </c>
      <c r="V73">
        <f t="shared" si="9"/>
        <v>812.43000000000006</v>
      </c>
    </row>
    <row r="74" spans="1:22" x14ac:dyDescent="0.25">
      <c r="A74" t="s">
        <v>207</v>
      </c>
      <c r="B74" t="s">
        <v>208</v>
      </c>
      <c r="C74" t="s">
        <v>24</v>
      </c>
      <c r="D74" t="s">
        <v>25</v>
      </c>
      <c r="E74">
        <v>250</v>
      </c>
      <c r="F74">
        <v>30</v>
      </c>
      <c r="G74">
        <v>27</v>
      </c>
      <c r="H74" s="2">
        <v>0.27</v>
      </c>
      <c r="I74">
        <v>16</v>
      </c>
      <c r="J74">
        <v>18</v>
      </c>
      <c r="K74" s="1">
        <f t="shared" si="5"/>
        <v>0.88888888888888884</v>
      </c>
      <c r="L74">
        <v>0.2</v>
      </c>
      <c r="M74" s="1">
        <f t="shared" si="6"/>
        <v>1.1777777777777778</v>
      </c>
      <c r="N74" s="1">
        <f t="shared" si="7"/>
        <v>64.995000000000005</v>
      </c>
      <c r="O74" s="1">
        <v>43.33</v>
      </c>
      <c r="P74">
        <f t="shared" si="8"/>
        <v>1.5000000000000002</v>
      </c>
      <c r="Q74" t="s">
        <v>26</v>
      </c>
      <c r="R74" t="s">
        <v>51</v>
      </c>
      <c r="S74" t="s">
        <v>48</v>
      </c>
      <c r="T74" t="s">
        <v>26</v>
      </c>
      <c r="U74">
        <v>1705</v>
      </c>
      <c r="V74">
        <f t="shared" si="9"/>
        <v>813.28500000000008</v>
      </c>
    </row>
    <row r="75" spans="1:22" x14ac:dyDescent="0.25">
      <c r="A75" t="s">
        <v>209</v>
      </c>
      <c r="B75" t="s">
        <v>210</v>
      </c>
      <c r="C75" t="s">
        <v>24</v>
      </c>
      <c r="D75" t="s">
        <v>25</v>
      </c>
      <c r="E75">
        <v>250</v>
      </c>
      <c r="F75">
        <v>30</v>
      </c>
      <c r="G75">
        <v>27</v>
      </c>
      <c r="H75" s="2">
        <v>0.27</v>
      </c>
      <c r="I75">
        <v>16</v>
      </c>
      <c r="J75">
        <v>18</v>
      </c>
      <c r="K75" s="1">
        <f t="shared" si="5"/>
        <v>0.88888888888888884</v>
      </c>
      <c r="L75">
        <v>0.2</v>
      </c>
      <c r="M75" s="1">
        <f t="shared" si="6"/>
        <v>1.1777777777777778</v>
      </c>
      <c r="N75" s="1">
        <f t="shared" si="7"/>
        <v>33.795000000000002</v>
      </c>
      <c r="O75" s="1">
        <v>22.53</v>
      </c>
      <c r="P75">
        <f t="shared" si="8"/>
        <v>1.5</v>
      </c>
      <c r="Q75" t="s">
        <v>26</v>
      </c>
      <c r="R75" t="s">
        <v>54</v>
      </c>
      <c r="S75" t="s">
        <v>51</v>
      </c>
      <c r="T75" t="s">
        <v>26</v>
      </c>
      <c r="U75">
        <v>1710</v>
      </c>
      <c r="V75">
        <f t="shared" si="9"/>
        <v>815.67000000000007</v>
      </c>
    </row>
    <row r="76" spans="1:22" x14ac:dyDescent="0.25">
      <c r="A76" t="s">
        <v>211</v>
      </c>
      <c r="B76" t="s">
        <v>212</v>
      </c>
      <c r="C76" t="s">
        <v>24</v>
      </c>
      <c r="D76" t="s">
        <v>25</v>
      </c>
      <c r="E76">
        <v>250</v>
      </c>
      <c r="F76">
        <v>30</v>
      </c>
      <c r="G76">
        <v>27</v>
      </c>
      <c r="H76" s="2">
        <v>0.27</v>
      </c>
      <c r="I76">
        <v>16</v>
      </c>
      <c r="J76">
        <v>18</v>
      </c>
      <c r="K76" s="1">
        <f t="shared" si="5"/>
        <v>0.88888888888888884</v>
      </c>
      <c r="L76">
        <v>0.2</v>
      </c>
      <c r="M76" s="1">
        <f t="shared" si="6"/>
        <v>1.1777777777777778</v>
      </c>
      <c r="N76" s="1">
        <f t="shared" si="7"/>
        <v>48.300000000000004</v>
      </c>
      <c r="O76" s="1">
        <v>32.200000000000003</v>
      </c>
      <c r="P76">
        <f t="shared" si="8"/>
        <v>1.5</v>
      </c>
      <c r="Q76" t="s">
        <v>26</v>
      </c>
      <c r="R76" t="s">
        <v>63</v>
      </c>
      <c r="S76" t="s">
        <v>54</v>
      </c>
      <c r="T76" t="s">
        <v>26</v>
      </c>
      <c r="U76">
        <v>1715</v>
      </c>
      <c r="V76">
        <f t="shared" si="9"/>
        <v>818.05500000000006</v>
      </c>
    </row>
    <row r="77" spans="1:22" x14ac:dyDescent="0.25">
      <c r="A77" t="s">
        <v>213</v>
      </c>
      <c r="B77" t="s">
        <v>214</v>
      </c>
      <c r="C77" t="s">
        <v>24</v>
      </c>
      <c r="D77" t="s">
        <v>25</v>
      </c>
      <c r="E77">
        <v>250</v>
      </c>
      <c r="F77">
        <v>30</v>
      </c>
      <c r="G77">
        <v>27</v>
      </c>
      <c r="H77" s="2">
        <v>0.27</v>
      </c>
      <c r="I77">
        <v>16</v>
      </c>
      <c r="J77">
        <v>18</v>
      </c>
      <c r="K77" s="1">
        <f t="shared" si="5"/>
        <v>0.88888888888888884</v>
      </c>
      <c r="L77">
        <v>0.2</v>
      </c>
      <c r="M77" s="1">
        <f t="shared" si="6"/>
        <v>1.1777777777777778</v>
      </c>
      <c r="N77" s="1">
        <f t="shared" si="7"/>
        <v>52.005000000000003</v>
      </c>
      <c r="O77" s="1">
        <v>34.67</v>
      </c>
      <c r="P77">
        <f t="shared" si="8"/>
        <v>1.5</v>
      </c>
      <c r="Q77" t="s">
        <v>26</v>
      </c>
      <c r="R77" t="s">
        <v>58</v>
      </c>
      <c r="S77" t="s">
        <v>63</v>
      </c>
      <c r="T77" t="s">
        <v>26</v>
      </c>
      <c r="U77">
        <v>1720</v>
      </c>
      <c r="V77">
        <f t="shared" si="9"/>
        <v>820.44</v>
      </c>
    </row>
    <row r="78" spans="1:22" x14ac:dyDescent="0.25">
      <c r="A78" t="s">
        <v>215</v>
      </c>
      <c r="B78" t="s">
        <v>216</v>
      </c>
      <c r="C78" t="s">
        <v>24</v>
      </c>
      <c r="D78" t="s">
        <v>57</v>
      </c>
      <c r="E78">
        <v>180</v>
      </c>
      <c r="F78">
        <v>27</v>
      </c>
      <c r="G78">
        <v>27</v>
      </c>
      <c r="H78" s="2">
        <v>0.27</v>
      </c>
      <c r="I78">
        <v>9</v>
      </c>
      <c r="J78">
        <v>10</v>
      </c>
      <c r="K78" s="1">
        <f t="shared" si="5"/>
        <v>0.9</v>
      </c>
      <c r="L78">
        <v>0.2</v>
      </c>
      <c r="M78" s="1">
        <f t="shared" si="6"/>
        <v>1.18</v>
      </c>
      <c r="N78" s="1">
        <f t="shared" si="7"/>
        <v>52.005000000000003</v>
      </c>
      <c r="O78" s="1">
        <v>34.67</v>
      </c>
      <c r="P78">
        <f t="shared" si="8"/>
        <v>1.5</v>
      </c>
      <c r="Q78" t="s">
        <v>26</v>
      </c>
      <c r="R78" t="s">
        <v>64</v>
      </c>
      <c r="S78" t="s">
        <v>58</v>
      </c>
      <c r="T78" t="s">
        <v>26</v>
      </c>
      <c r="U78">
        <v>1725</v>
      </c>
      <c r="V78">
        <f t="shared" si="9"/>
        <v>824.37750000000005</v>
      </c>
    </row>
    <row r="79" spans="1:22" x14ac:dyDescent="0.25">
      <c r="A79" t="s">
        <v>217</v>
      </c>
      <c r="B79" t="s">
        <v>218</v>
      </c>
      <c r="C79" t="s">
        <v>24</v>
      </c>
      <c r="D79" t="s">
        <v>57</v>
      </c>
      <c r="E79">
        <v>180</v>
      </c>
      <c r="F79">
        <v>27</v>
      </c>
      <c r="G79">
        <v>27</v>
      </c>
      <c r="H79" s="2">
        <v>0.27</v>
      </c>
      <c r="I79">
        <v>9</v>
      </c>
      <c r="J79">
        <v>10</v>
      </c>
      <c r="K79" s="1">
        <f t="shared" si="5"/>
        <v>0.9</v>
      </c>
      <c r="L79">
        <v>0.2</v>
      </c>
      <c r="M79" s="1">
        <f t="shared" si="6"/>
        <v>1.18</v>
      </c>
      <c r="N79" s="1">
        <f t="shared" si="7"/>
        <v>48.75</v>
      </c>
      <c r="O79" s="1">
        <v>32.5</v>
      </c>
      <c r="P79">
        <f t="shared" si="8"/>
        <v>1.5</v>
      </c>
      <c r="Q79" t="s">
        <v>26</v>
      </c>
      <c r="S79" t="s">
        <v>70</v>
      </c>
      <c r="T79" t="s">
        <v>26</v>
      </c>
      <c r="U79">
        <v>1730</v>
      </c>
      <c r="V79">
        <f t="shared" si="9"/>
        <v>826.76700000000005</v>
      </c>
    </row>
    <row r="80" spans="1:22" x14ac:dyDescent="0.25">
      <c r="A80" t="s">
        <v>219</v>
      </c>
      <c r="B80" t="s">
        <v>220</v>
      </c>
      <c r="C80" t="s">
        <v>24</v>
      </c>
      <c r="D80" t="s">
        <v>57</v>
      </c>
      <c r="E80">
        <v>180</v>
      </c>
      <c r="F80">
        <v>27</v>
      </c>
      <c r="G80">
        <v>27</v>
      </c>
      <c r="H80" s="2">
        <v>0.27</v>
      </c>
      <c r="I80">
        <v>9</v>
      </c>
      <c r="J80">
        <v>10</v>
      </c>
      <c r="K80" s="1">
        <f t="shared" si="5"/>
        <v>0.9</v>
      </c>
      <c r="L80">
        <v>0.2</v>
      </c>
      <c r="M80" s="1">
        <f t="shared" si="6"/>
        <v>1.18</v>
      </c>
      <c r="N80" s="1">
        <f t="shared" si="7"/>
        <v>58.005000000000003</v>
      </c>
      <c r="O80" s="1">
        <v>38.67</v>
      </c>
      <c r="P80">
        <f t="shared" si="8"/>
        <v>1.5</v>
      </c>
      <c r="Q80" t="s">
        <v>26</v>
      </c>
      <c r="R80" t="s">
        <v>70</v>
      </c>
      <c r="T80" t="s">
        <v>26</v>
      </c>
      <c r="U80">
        <v>1735</v>
      </c>
      <c r="V80">
        <f t="shared" si="9"/>
        <v>829.15650000000005</v>
      </c>
    </row>
    <row r="81" spans="1:22" x14ac:dyDescent="0.25">
      <c r="A81" t="s">
        <v>221</v>
      </c>
      <c r="B81" t="s">
        <v>222</v>
      </c>
      <c r="C81" t="s">
        <v>24</v>
      </c>
      <c r="D81" t="s">
        <v>57</v>
      </c>
      <c r="E81">
        <v>180</v>
      </c>
      <c r="F81">
        <v>27</v>
      </c>
      <c r="G81">
        <v>27</v>
      </c>
      <c r="H81" s="2">
        <v>0.27</v>
      </c>
      <c r="I81">
        <v>9</v>
      </c>
      <c r="J81">
        <v>10</v>
      </c>
      <c r="K81" s="1">
        <f t="shared" si="5"/>
        <v>0.9</v>
      </c>
      <c r="L81">
        <v>0.2</v>
      </c>
      <c r="M81" s="1">
        <f t="shared" si="6"/>
        <v>1.18</v>
      </c>
      <c r="N81" s="1">
        <f t="shared" si="7"/>
        <v>48.75</v>
      </c>
      <c r="O81" s="1">
        <v>32.5</v>
      </c>
      <c r="P81">
        <f t="shared" si="8"/>
        <v>1.5</v>
      </c>
      <c r="Q81" t="s">
        <v>26</v>
      </c>
      <c r="R81" t="s">
        <v>78</v>
      </c>
      <c r="S81" t="s">
        <v>70</v>
      </c>
      <c r="T81" t="s">
        <v>26</v>
      </c>
      <c r="U81">
        <v>1740</v>
      </c>
      <c r="V81">
        <f t="shared" si="9"/>
        <v>831.54600000000005</v>
      </c>
    </row>
    <row r="82" spans="1:22" x14ac:dyDescent="0.25">
      <c r="A82" t="s">
        <v>223</v>
      </c>
      <c r="B82" t="s">
        <v>224</v>
      </c>
      <c r="C82" t="s">
        <v>24</v>
      </c>
      <c r="D82" t="s">
        <v>25</v>
      </c>
      <c r="E82">
        <v>250</v>
      </c>
      <c r="F82">
        <v>30</v>
      </c>
      <c r="G82">
        <v>30</v>
      </c>
      <c r="H82" s="2">
        <v>0.3</v>
      </c>
      <c r="I82">
        <v>16</v>
      </c>
      <c r="J82">
        <v>18</v>
      </c>
      <c r="K82" s="1">
        <f t="shared" si="5"/>
        <v>0.88888888888888884</v>
      </c>
      <c r="L82">
        <v>0.2</v>
      </c>
      <c r="M82" s="1">
        <f t="shared" si="6"/>
        <v>1.1777777777777778</v>
      </c>
      <c r="N82" s="1">
        <f t="shared" si="7"/>
        <v>49.755000000000003</v>
      </c>
      <c r="O82" s="1">
        <v>33.17</v>
      </c>
      <c r="P82">
        <f t="shared" si="8"/>
        <v>1.5</v>
      </c>
      <c r="Q82" t="s">
        <v>26</v>
      </c>
      <c r="R82" t="s">
        <v>82</v>
      </c>
      <c r="S82" t="s">
        <v>78</v>
      </c>
      <c r="T82" t="s">
        <v>26</v>
      </c>
      <c r="U82">
        <v>1745</v>
      </c>
      <c r="V82">
        <f t="shared" si="9"/>
        <v>924.85</v>
      </c>
    </row>
    <row r="83" spans="1:22" x14ac:dyDescent="0.25">
      <c r="A83" t="s">
        <v>225</v>
      </c>
      <c r="B83" t="s">
        <v>226</v>
      </c>
      <c r="C83" t="s">
        <v>24</v>
      </c>
      <c r="D83" t="s">
        <v>25</v>
      </c>
      <c r="E83">
        <v>250</v>
      </c>
      <c r="F83">
        <v>30</v>
      </c>
      <c r="G83">
        <v>30</v>
      </c>
      <c r="H83" s="2">
        <v>0.3</v>
      </c>
      <c r="I83">
        <v>17</v>
      </c>
      <c r="J83">
        <v>18</v>
      </c>
      <c r="K83" s="1">
        <f t="shared" si="5"/>
        <v>0.94444444444444442</v>
      </c>
      <c r="L83">
        <v>0.2</v>
      </c>
      <c r="M83" s="1">
        <f t="shared" si="6"/>
        <v>1.1888888888888889</v>
      </c>
      <c r="N83" s="1">
        <f t="shared" si="7"/>
        <v>40.244999999999997</v>
      </c>
      <c r="O83" s="1">
        <v>26.83</v>
      </c>
      <c r="P83">
        <f t="shared" si="8"/>
        <v>1.5</v>
      </c>
      <c r="Q83" t="s">
        <v>26</v>
      </c>
      <c r="R83" t="s">
        <v>162</v>
      </c>
      <c r="S83" t="s">
        <v>82</v>
      </c>
      <c r="T83" t="s">
        <v>26</v>
      </c>
      <c r="U83">
        <v>1750</v>
      </c>
      <c r="V83">
        <f t="shared" si="9"/>
        <v>936.25</v>
      </c>
    </row>
    <row r="84" spans="1:22" x14ac:dyDescent="0.25">
      <c r="A84" t="s">
        <v>227</v>
      </c>
      <c r="B84" t="s">
        <v>228</v>
      </c>
      <c r="C84" t="s">
        <v>24</v>
      </c>
      <c r="D84" t="s">
        <v>57</v>
      </c>
      <c r="E84">
        <v>180</v>
      </c>
      <c r="F84">
        <v>27</v>
      </c>
      <c r="G84">
        <v>27</v>
      </c>
      <c r="H84" s="2">
        <v>0.27</v>
      </c>
      <c r="I84">
        <v>9</v>
      </c>
      <c r="J84">
        <v>10</v>
      </c>
      <c r="K84" s="1">
        <f t="shared" si="5"/>
        <v>0.9</v>
      </c>
      <c r="L84">
        <v>0.2</v>
      </c>
      <c r="M84" s="1">
        <f t="shared" si="6"/>
        <v>1.18</v>
      </c>
      <c r="N84" s="1">
        <f t="shared" si="7"/>
        <v>49.994999999999997</v>
      </c>
      <c r="O84" s="1">
        <v>33.33</v>
      </c>
      <c r="P84">
        <f t="shared" si="8"/>
        <v>1.5</v>
      </c>
      <c r="Q84" t="s">
        <v>26</v>
      </c>
      <c r="R84" t="s">
        <v>79</v>
      </c>
      <c r="T84" t="s">
        <v>26</v>
      </c>
      <c r="U84">
        <v>1755</v>
      </c>
      <c r="V84">
        <f t="shared" si="9"/>
        <v>838.71450000000004</v>
      </c>
    </row>
    <row r="85" spans="1:22" x14ac:dyDescent="0.25">
      <c r="A85" t="s">
        <v>229</v>
      </c>
      <c r="B85" t="s">
        <v>230</v>
      </c>
      <c r="C85" t="s">
        <v>24</v>
      </c>
      <c r="D85" t="s">
        <v>57</v>
      </c>
      <c r="E85">
        <v>180</v>
      </c>
      <c r="F85">
        <v>27</v>
      </c>
      <c r="G85">
        <v>27</v>
      </c>
      <c r="H85" s="2">
        <v>0.27</v>
      </c>
      <c r="I85">
        <v>9</v>
      </c>
      <c r="J85">
        <v>10</v>
      </c>
      <c r="K85" s="1">
        <f t="shared" si="5"/>
        <v>0.9</v>
      </c>
      <c r="L85">
        <v>0.2</v>
      </c>
      <c r="M85" s="1">
        <f t="shared" si="6"/>
        <v>1.18</v>
      </c>
      <c r="N85" s="1">
        <f t="shared" si="7"/>
        <v>33.795000000000002</v>
      </c>
      <c r="O85" s="1">
        <v>22.53</v>
      </c>
      <c r="P85">
        <f t="shared" si="8"/>
        <v>1.5</v>
      </c>
      <c r="Q85" t="s">
        <v>26</v>
      </c>
      <c r="R85" t="s">
        <v>83</v>
      </c>
      <c r="S85" t="s">
        <v>79</v>
      </c>
      <c r="T85" t="s">
        <v>26</v>
      </c>
      <c r="U85">
        <v>1760</v>
      </c>
      <c r="V85">
        <f t="shared" si="9"/>
        <v>841.10400000000004</v>
      </c>
    </row>
    <row r="86" spans="1:22" x14ac:dyDescent="0.25">
      <c r="A86" t="s">
        <v>231</v>
      </c>
      <c r="B86" t="s">
        <v>232</v>
      </c>
      <c r="C86" t="s">
        <v>24</v>
      </c>
      <c r="D86" t="s">
        <v>57</v>
      </c>
      <c r="E86">
        <v>180</v>
      </c>
      <c r="F86">
        <v>27</v>
      </c>
      <c r="G86">
        <v>27</v>
      </c>
      <c r="H86" s="2">
        <v>0.27</v>
      </c>
      <c r="I86">
        <v>9</v>
      </c>
      <c r="J86">
        <v>10</v>
      </c>
      <c r="K86" s="1">
        <f t="shared" si="5"/>
        <v>0.9</v>
      </c>
      <c r="L86">
        <v>0.2</v>
      </c>
      <c r="M86" s="1">
        <f t="shared" si="6"/>
        <v>1.18</v>
      </c>
      <c r="N86" s="1">
        <f t="shared" si="7"/>
        <v>48.300000000000004</v>
      </c>
      <c r="O86" s="1">
        <v>32.200000000000003</v>
      </c>
      <c r="P86">
        <f t="shared" si="8"/>
        <v>1.5</v>
      </c>
      <c r="Q86" t="s">
        <v>26</v>
      </c>
      <c r="R86" t="s">
        <v>94</v>
      </c>
      <c r="S86" t="s">
        <v>83</v>
      </c>
      <c r="T86" t="s">
        <v>26</v>
      </c>
      <c r="U86">
        <v>1765</v>
      </c>
      <c r="V86">
        <f t="shared" si="9"/>
        <v>843.49350000000004</v>
      </c>
    </row>
    <row r="87" spans="1:22" x14ac:dyDescent="0.25">
      <c r="A87" t="s">
        <v>233</v>
      </c>
      <c r="B87" t="s">
        <v>234</v>
      </c>
      <c r="C87" t="s">
        <v>24</v>
      </c>
      <c r="D87" t="s">
        <v>57</v>
      </c>
      <c r="E87">
        <v>180</v>
      </c>
      <c r="F87">
        <v>27</v>
      </c>
      <c r="G87">
        <v>27</v>
      </c>
      <c r="H87" s="2">
        <v>0.27</v>
      </c>
      <c r="I87">
        <v>10</v>
      </c>
      <c r="J87">
        <v>10</v>
      </c>
      <c r="K87" s="1">
        <f t="shared" si="5"/>
        <v>1</v>
      </c>
      <c r="L87">
        <v>0.2</v>
      </c>
      <c r="M87" s="1">
        <f t="shared" si="6"/>
        <v>1.2</v>
      </c>
      <c r="N87" s="1">
        <f t="shared" si="7"/>
        <v>52.005000000000003</v>
      </c>
      <c r="O87" s="1">
        <v>34.67</v>
      </c>
      <c r="P87">
        <f t="shared" si="8"/>
        <v>1.5</v>
      </c>
      <c r="Q87" t="s">
        <v>26</v>
      </c>
      <c r="S87" t="s">
        <v>70</v>
      </c>
      <c r="T87" t="s">
        <v>26</v>
      </c>
      <c r="U87">
        <v>1770</v>
      </c>
      <c r="V87">
        <f t="shared" si="9"/>
        <v>860.22</v>
      </c>
    </row>
    <row r="88" spans="1:22" x14ac:dyDescent="0.25">
      <c r="A88" t="s">
        <v>235</v>
      </c>
      <c r="B88" t="s">
        <v>236</v>
      </c>
      <c r="C88" t="s">
        <v>24</v>
      </c>
      <c r="D88" t="s">
        <v>25</v>
      </c>
      <c r="E88">
        <v>250</v>
      </c>
      <c r="F88">
        <v>30</v>
      </c>
      <c r="G88">
        <v>30</v>
      </c>
      <c r="H88" s="2">
        <v>0.3</v>
      </c>
      <c r="I88">
        <v>18</v>
      </c>
      <c r="J88">
        <v>18</v>
      </c>
      <c r="K88" s="1">
        <f t="shared" si="5"/>
        <v>1</v>
      </c>
      <c r="L88">
        <v>0.2</v>
      </c>
      <c r="M88" s="1">
        <f t="shared" si="6"/>
        <v>1.2</v>
      </c>
      <c r="N88" s="1">
        <f t="shared" si="7"/>
        <v>52.005000000000003</v>
      </c>
      <c r="O88" s="1">
        <v>34.67</v>
      </c>
      <c r="P88">
        <f t="shared" si="8"/>
        <v>1.5</v>
      </c>
      <c r="Q88" t="s">
        <v>26</v>
      </c>
      <c r="R88" t="s">
        <v>88</v>
      </c>
      <c r="S88" t="s">
        <v>44</v>
      </c>
      <c r="T88" t="s">
        <v>26</v>
      </c>
      <c r="U88">
        <v>1775</v>
      </c>
      <c r="V88">
        <f t="shared" si="9"/>
        <v>958.5</v>
      </c>
    </row>
    <row r="89" spans="1:22" x14ac:dyDescent="0.25">
      <c r="A89" t="s">
        <v>237</v>
      </c>
      <c r="B89" t="s">
        <v>238</v>
      </c>
      <c r="C89" t="s">
        <v>24</v>
      </c>
      <c r="D89" t="s">
        <v>25</v>
      </c>
      <c r="E89">
        <v>250</v>
      </c>
      <c r="F89">
        <v>30</v>
      </c>
      <c r="G89">
        <v>30</v>
      </c>
      <c r="H89" s="2">
        <v>0.3</v>
      </c>
      <c r="I89">
        <v>18</v>
      </c>
      <c r="J89">
        <v>18</v>
      </c>
      <c r="K89" s="1">
        <f t="shared" si="5"/>
        <v>1</v>
      </c>
      <c r="L89">
        <v>0.2</v>
      </c>
      <c r="M89" s="1">
        <f t="shared" si="6"/>
        <v>1.2</v>
      </c>
      <c r="N89" s="1">
        <f t="shared" si="7"/>
        <v>48.75</v>
      </c>
      <c r="O89" s="1">
        <v>32.5</v>
      </c>
      <c r="P89">
        <f t="shared" si="8"/>
        <v>1.5</v>
      </c>
      <c r="Q89" t="s">
        <v>26</v>
      </c>
      <c r="R89" t="s">
        <v>104</v>
      </c>
      <c r="S89" t="s">
        <v>88</v>
      </c>
      <c r="T89" t="s">
        <v>26</v>
      </c>
      <c r="U89">
        <v>1780</v>
      </c>
      <c r="V89">
        <f t="shared" si="9"/>
        <v>961.19999999999993</v>
      </c>
    </row>
    <row r="90" spans="1:22" x14ac:dyDescent="0.25">
      <c r="A90" t="s">
        <v>239</v>
      </c>
      <c r="B90" t="s">
        <v>240</v>
      </c>
      <c r="C90" t="s">
        <v>24</v>
      </c>
      <c r="D90" t="s">
        <v>57</v>
      </c>
      <c r="E90">
        <v>180</v>
      </c>
      <c r="F90">
        <v>27</v>
      </c>
      <c r="G90">
        <v>27</v>
      </c>
      <c r="H90" s="2">
        <v>0.27</v>
      </c>
      <c r="I90">
        <v>10</v>
      </c>
      <c r="J90">
        <v>10</v>
      </c>
      <c r="K90" s="1">
        <f t="shared" si="5"/>
        <v>1</v>
      </c>
      <c r="L90">
        <v>0.2</v>
      </c>
      <c r="M90" s="1">
        <f t="shared" si="6"/>
        <v>1.2</v>
      </c>
      <c r="N90" s="1">
        <f t="shared" si="7"/>
        <v>52.005000000000003</v>
      </c>
      <c r="O90" s="1">
        <v>34.67</v>
      </c>
      <c r="P90">
        <f t="shared" si="8"/>
        <v>1.5</v>
      </c>
      <c r="Q90" t="s">
        <v>26</v>
      </c>
      <c r="R90" t="s">
        <v>91</v>
      </c>
      <c r="S90" t="s">
        <v>104</v>
      </c>
      <c r="T90" t="s">
        <v>26</v>
      </c>
      <c r="U90">
        <v>1785</v>
      </c>
      <c r="V90">
        <f t="shared" si="9"/>
        <v>867.5100000000001</v>
      </c>
    </row>
    <row r="91" spans="1:22" x14ac:dyDescent="0.25">
      <c r="A91" t="s">
        <v>241</v>
      </c>
      <c r="B91" t="s">
        <v>242</v>
      </c>
      <c r="C91" t="s">
        <v>24</v>
      </c>
      <c r="D91" t="s">
        <v>57</v>
      </c>
      <c r="E91">
        <v>180</v>
      </c>
      <c r="F91">
        <v>27</v>
      </c>
      <c r="G91">
        <v>27</v>
      </c>
      <c r="H91" s="2">
        <v>0.27</v>
      </c>
      <c r="I91">
        <v>10</v>
      </c>
      <c r="J91">
        <v>10</v>
      </c>
      <c r="K91" s="1">
        <f t="shared" si="5"/>
        <v>1</v>
      </c>
      <c r="L91">
        <v>0.2</v>
      </c>
      <c r="M91" s="1">
        <f t="shared" si="6"/>
        <v>1.2</v>
      </c>
      <c r="N91" s="1">
        <f t="shared" si="7"/>
        <v>48.75</v>
      </c>
      <c r="O91" s="1">
        <v>32.5</v>
      </c>
      <c r="P91">
        <f t="shared" si="8"/>
        <v>1.5</v>
      </c>
      <c r="Q91" t="s">
        <v>26</v>
      </c>
      <c r="R91" t="s">
        <v>95</v>
      </c>
      <c r="S91" t="s">
        <v>91</v>
      </c>
      <c r="T91" t="s">
        <v>26</v>
      </c>
      <c r="U91">
        <v>1790</v>
      </c>
      <c r="V91">
        <f t="shared" si="9"/>
        <v>869.94</v>
      </c>
    </row>
    <row r="92" spans="1:22" x14ac:dyDescent="0.25">
      <c r="A92" t="s">
        <v>243</v>
      </c>
      <c r="B92" t="s">
        <v>244</v>
      </c>
      <c r="C92" t="s">
        <v>24</v>
      </c>
      <c r="D92" t="s">
        <v>57</v>
      </c>
      <c r="E92">
        <v>180</v>
      </c>
      <c r="F92">
        <v>27</v>
      </c>
      <c r="G92">
        <v>27</v>
      </c>
      <c r="H92" s="2">
        <v>0.27</v>
      </c>
      <c r="I92">
        <v>10</v>
      </c>
      <c r="J92">
        <v>10</v>
      </c>
      <c r="K92" s="1">
        <f t="shared" si="5"/>
        <v>1</v>
      </c>
      <c r="L92">
        <v>0.2</v>
      </c>
      <c r="M92" s="1">
        <f t="shared" si="6"/>
        <v>1.2</v>
      </c>
      <c r="N92" s="1">
        <f t="shared" si="7"/>
        <v>49.5</v>
      </c>
      <c r="O92" s="1">
        <v>33</v>
      </c>
      <c r="P92">
        <f t="shared" si="8"/>
        <v>1.5</v>
      </c>
      <c r="Q92" t="s">
        <v>26</v>
      </c>
      <c r="R92" t="s">
        <v>98</v>
      </c>
      <c r="S92" t="s">
        <v>95</v>
      </c>
      <c r="T92" t="s">
        <v>26</v>
      </c>
      <c r="U92">
        <v>1795</v>
      </c>
      <c r="V92">
        <f t="shared" si="9"/>
        <v>872.37</v>
      </c>
    </row>
    <row r="93" spans="1:22" x14ac:dyDescent="0.25">
      <c r="A93" t="s">
        <v>245</v>
      </c>
      <c r="B93" t="s">
        <v>246</v>
      </c>
      <c r="C93" t="s">
        <v>24</v>
      </c>
      <c r="D93" t="s">
        <v>57</v>
      </c>
      <c r="E93">
        <v>180</v>
      </c>
      <c r="F93">
        <v>27</v>
      </c>
      <c r="G93">
        <v>27</v>
      </c>
      <c r="H93" s="2">
        <v>0.27</v>
      </c>
      <c r="I93">
        <v>10</v>
      </c>
      <c r="J93">
        <v>10</v>
      </c>
      <c r="K93" s="1">
        <f t="shared" si="5"/>
        <v>1</v>
      </c>
      <c r="L93">
        <v>0.2</v>
      </c>
      <c r="M93" s="1">
        <f t="shared" si="6"/>
        <v>1.2</v>
      </c>
      <c r="N93" s="1">
        <f t="shared" si="7"/>
        <v>40.244999999999997</v>
      </c>
      <c r="O93" s="1">
        <v>26.83</v>
      </c>
      <c r="P93">
        <f t="shared" si="8"/>
        <v>1.5</v>
      </c>
      <c r="Q93" t="s">
        <v>26</v>
      </c>
      <c r="R93" t="s">
        <v>114</v>
      </c>
      <c r="S93" t="s">
        <v>98</v>
      </c>
      <c r="T93" t="s">
        <v>26</v>
      </c>
      <c r="U93">
        <v>1800</v>
      </c>
      <c r="V93">
        <f t="shared" si="9"/>
        <v>874.80000000000007</v>
      </c>
    </row>
    <row r="94" spans="1:22" x14ac:dyDescent="0.25">
      <c r="A94" t="s">
        <v>247</v>
      </c>
      <c r="B94" t="s">
        <v>248</v>
      </c>
      <c r="C94" t="s">
        <v>24</v>
      </c>
      <c r="D94" t="s">
        <v>25</v>
      </c>
      <c r="E94">
        <v>250</v>
      </c>
      <c r="F94">
        <v>30</v>
      </c>
      <c r="G94">
        <v>30</v>
      </c>
      <c r="H94" s="2">
        <v>0.3</v>
      </c>
      <c r="I94">
        <v>17</v>
      </c>
      <c r="J94">
        <v>18</v>
      </c>
      <c r="K94" s="1">
        <f t="shared" si="5"/>
        <v>0.94444444444444442</v>
      </c>
      <c r="L94">
        <v>0.2</v>
      </c>
      <c r="M94" s="1">
        <f t="shared" si="6"/>
        <v>1.1888888888888889</v>
      </c>
      <c r="N94" s="1">
        <f t="shared" si="7"/>
        <v>49.994999999999997</v>
      </c>
      <c r="O94" s="1">
        <v>33.33</v>
      </c>
      <c r="P94">
        <f t="shared" si="8"/>
        <v>1.5</v>
      </c>
      <c r="Q94" t="s">
        <v>26</v>
      </c>
      <c r="R94" t="s">
        <v>101</v>
      </c>
      <c r="S94" t="s">
        <v>114</v>
      </c>
      <c r="T94" t="s">
        <v>26</v>
      </c>
      <c r="U94">
        <v>1805</v>
      </c>
      <c r="V94">
        <f t="shared" si="9"/>
        <v>965.67499999999995</v>
      </c>
    </row>
    <row r="95" spans="1:22" x14ac:dyDescent="0.25">
      <c r="A95" t="s">
        <v>249</v>
      </c>
      <c r="B95" t="s">
        <v>250</v>
      </c>
      <c r="C95" t="s">
        <v>24</v>
      </c>
      <c r="D95" t="s">
        <v>25</v>
      </c>
      <c r="E95">
        <v>250</v>
      </c>
      <c r="F95">
        <v>30</v>
      </c>
      <c r="G95">
        <v>30</v>
      </c>
      <c r="H95" s="2">
        <v>0.3</v>
      </c>
      <c r="I95">
        <v>17</v>
      </c>
      <c r="J95">
        <v>18</v>
      </c>
      <c r="K95" s="1">
        <f t="shared" si="5"/>
        <v>0.94444444444444442</v>
      </c>
      <c r="L95">
        <v>0.2</v>
      </c>
      <c r="M95" s="1">
        <f t="shared" si="6"/>
        <v>1.1888888888888889</v>
      </c>
      <c r="N95" s="1">
        <f t="shared" si="7"/>
        <v>33.795000000000002</v>
      </c>
      <c r="O95" s="1">
        <v>22.53</v>
      </c>
      <c r="P95">
        <f t="shared" si="8"/>
        <v>1.5</v>
      </c>
      <c r="Q95" t="s">
        <v>26</v>
      </c>
      <c r="R95" t="s">
        <v>105</v>
      </c>
      <c r="S95" t="s">
        <v>101</v>
      </c>
      <c r="T95" t="s">
        <v>26</v>
      </c>
      <c r="U95">
        <v>1810</v>
      </c>
      <c r="V95">
        <f t="shared" si="9"/>
        <v>968.35</v>
      </c>
    </row>
    <row r="96" spans="1:22" x14ac:dyDescent="0.25">
      <c r="A96" t="s">
        <v>251</v>
      </c>
      <c r="B96" t="s">
        <v>252</v>
      </c>
      <c r="C96" t="s">
        <v>24</v>
      </c>
      <c r="D96" t="s">
        <v>25</v>
      </c>
      <c r="E96">
        <v>250</v>
      </c>
      <c r="F96">
        <v>30</v>
      </c>
      <c r="G96">
        <v>30</v>
      </c>
      <c r="H96" s="2">
        <v>0.3</v>
      </c>
      <c r="I96">
        <v>17</v>
      </c>
      <c r="J96">
        <v>18</v>
      </c>
      <c r="K96" s="1">
        <f t="shared" si="5"/>
        <v>0.94444444444444442</v>
      </c>
      <c r="L96">
        <v>0.2</v>
      </c>
      <c r="M96" s="1">
        <f t="shared" si="6"/>
        <v>1.1888888888888889</v>
      </c>
      <c r="N96" s="1">
        <f t="shared" si="7"/>
        <v>48.300000000000004</v>
      </c>
      <c r="O96" s="1">
        <v>32.200000000000003</v>
      </c>
      <c r="P96">
        <f t="shared" si="8"/>
        <v>1.5</v>
      </c>
      <c r="Q96" t="s">
        <v>26</v>
      </c>
      <c r="R96" t="s">
        <v>121</v>
      </c>
      <c r="S96" t="s">
        <v>105</v>
      </c>
      <c r="T96" t="s">
        <v>26</v>
      </c>
      <c r="U96">
        <v>1815</v>
      </c>
      <c r="V96">
        <f t="shared" si="9"/>
        <v>971.02499999999998</v>
      </c>
    </row>
    <row r="97" spans="1:22" x14ac:dyDescent="0.25">
      <c r="A97" t="s">
        <v>253</v>
      </c>
      <c r="B97" t="s">
        <v>254</v>
      </c>
      <c r="C97" t="s">
        <v>24</v>
      </c>
      <c r="D97" t="s">
        <v>25</v>
      </c>
      <c r="E97">
        <v>250</v>
      </c>
      <c r="F97">
        <v>30</v>
      </c>
      <c r="G97">
        <v>30</v>
      </c>
      <c r="H97" s="2">
        <v>0.3</v>
      </c>
      <c r="I97">
        <v>17</v>
      </c>
      <c r="J97">
        <v>18</v>
      </c>
      <c r="K97" s="1">
        <f t="shared" si="5"/>
        <v>0.94444444444444442</v>
      </c>
      <c r="L97">
        <v>0.2</v>
      </c>
      <c r="M97" s="1">
        <f t="shared" si="6"/>
        <v>1.1888888888888889</v>
      </c>
      <c r="N97" s="1">
        <f t="shared" si="7"/>
        <v>52.005000000000003</v>
      </c>
      <c r="O97" s="1">
        <v>34.67</v>
      </c>
      <c r="P97">
        <f t="shared" si="8"/>
        <v>1.5</v>
      </c>
      <c r="Q97" t="s">
        <v>26</v>
      </c>
      <c r="R97" t="s">
        <v>124</v>
      </c>
      <c r="S97" t="s">
        <v>121</v>
      </c>
      <c r="T97" t="s">
        <v>26</v>
      </c>
      <c r="U97">
        <v>1820</v>
      </c>
      <c r="V97">
        <f t="shared" si="9"/>
        <v>973.7</v>
      </c>
    </row>
    <row r="98" spans="1:22" x14ac:dyDescent="0.25">
      <c r="A98" t="s">
        <v>255</v>
      </c>
      <c r="B98" t="s">
        <v>256</v>
      </c>
      <c r="C98" t="s">
        <v>24</v>
      </c>
      <c r="D98" t="s">
        <v>57</v>
      </c>
      <c r="E98">
        <v>180</v>
      </c>
      <c r="F98">
        <v>27</v>
      </c>
      <c r="G98">
        <v>27</v>
      </c>
      <c r="H98" s="2">
        <v>0.27</v>
      </c>
      <c r="I98">
        <v>10</v>
      </c>
      <c r="J98">
        <v>10</v>
      </c>
      <c r="K98" s="1">
        <f t="shared" si="5"/>
        <v>1</v>
      </c>
      <c r="L98">
        <v>0.2</v>
      </c>
      <c r="M98" s="1">
        <f t="shared" si="6"/>
        <v>1.2</v>
      </c>
      <c r="N98" s="1">
        <f t="shared" si="7"/>
        <v>52.005000000000003</v>
      </c>
      <c r="O98" s="1">
        <v>34.67</v>
      </c>
      <c r="P98">
        <f t="shared" si="8"/>
        <v>1.5</v>
      </c>
      <c r="Q98" t="s">
        <v>26</v>
      </c>
      <c r="R98" t="s">
        <v>31</v>
      </c>
      <c r="S98" t="s">
        <v>124</v>
      </c>
      <c r="T98" t="s">
        <v>26</v>
      </c>
      <c r="U98">
        <v>1825</v>
      </c>
      <c r="V98">
        <f t="shared" si="9"/>
        <v>886.95000000000016</v>
      </c>
    </row>
    <row r="99" spans="1:22" x14ac:dyDescent="0.25">
      <c r="A99" t="s">
        <v>257</v>
      </c>
      <c r="B99" t="s">
        <v>258</v>
      </c>
      <c r="C99" t="s">
        <v>24</v>
      </c>
      <c r="D99" t="s">
        <v>57</v>
      </c>
      <c r="E99">
        <v>180</v>
      </c>
      <c r="F99">
        <v>27</v>
      </c>
      <c r="G99">
        <v>27</v>
      </c>
      <c r="H99" s="2">
        <v>0.27</v>
      </c>
      <c r="I99">
        <v>10</v>
      </c>
      <c r="J99">
        <v>10</v>
      </c>
      <c r="K99" s="1">
        <f t="shared" si="5"/>
        <v>1</v>
      </c>
      <c r="L99">
        <v>0.2</v>
      </c>
      <c r="M99" s="1">
        <f t="shared" si="6"/>
        <v>1.2</v>
      </c>
      <c r="N99" s="1">
        <f t="shared" si="7"/>
        <v>48.75</v>
      </c>
      <c r="O99" s="1">
        <v>32.5</v>
      </c>
      <c r="P99">
        <f t="shared" si="8"/>
        <v>1.5</v>
      </c>
      <c r="Q99" t="s">
        <v>26</v>
      </c>
      <c r="S99" t="s">
        <v>73</v>
      </c>
      <c r="T99" t="s">
        <v>26</v>
      </c>
      <c r="U99">
        <v>1830</v>
      </c>
      <c r="V99">
        <f t="shared" si="9"/>
        <v>889.38000000000011</v>
      </c>
    </row>
    <row r="100" spans="1:22" x14ac:dyDescent="0.25">
      <c r="A100" t="s">
        <v>259</v>
      </c>
      <c r="B100" t="s">
        <v>260</v>
      </c>
      <c r="C100" t="s">
        <v>24</v>
      </c>
      <c r="D100" t="s">
        <v>57</v>
      </c>
      <c r="E100">
        <v>180</v>
      </c>
      <c r="F100">
        <v>27</v>
      </c>
      <c r="G100">
        <v>27</v>
      </c>
      <c r="H100" s="2">
        <v>0.27</v>
      </c>
      <c r="I100">
        <v>10</v>
      </c>
      <c r="J100">
        <v>10</v>
      </c>
      <c r="K100" s="1">
        <f t="shared" si="5"/>
        <v>1</v>
      </c>
      <c r="L100">
        <v>0.2</v>
      </c>
      <c r="M100" s="1">
        <f t="shared" si="6"/>
        <v>1.2</v>
      </c>
      <c r="N100" s="1">
        <f t="shared" si="7"/>
        <v>58.005000000000003</v>
      </c>
      <c r="O100" s="1">
        <v>38.67</v>
      </c>
      <c r="P100">
        <f t="shared" si="8"/>
        <v>1.5</v>
      </c>
      <c r="Q100" t="s">
        <v>26</v>
      </c>
      <c r="R100" t="s">
        <v>36</v>
      </c>
      <c r="T100" t="s">
        <v>26</v>
      </c>
      <c r="U100">
        <v>1835</v>
      </c>
      <c r="V100">
        <f t="shared" si="9"/>
        <v>891.81000000000006</v>
      </c>
    </row>
    <row r="101" spans="1:22" x14ac:dyDescent="0.25">
      <c r="A101" t="s">
        <v>261</v>
      </c>
      <c r="B101" t="s">
        <v>262</v>
      </c>
      <c r="C101" t="s">
        <v>24</v>
      </c>
      <c r="D101" t="s">
        <v>57</v>
      </c>
      <c r="E101">
        <v>180</v>
      </c>
      <c r="F101">
        <v>27</v>
      </c>
      <c r="G101">
        <v>27</v>
      </c>
      <c r="H101" s="2">
        <v>0.27</v>
      </c>
      <c r="I101">
        <v>9</v>
      </c>
      <c r="J101">
        <v>10</v>
      </c>
      <c r="K101" s="1">
        <f t="shared" si="5"/>
        <v>0.9</v>
      </c>
      <c r="L101">
        <v>0.2</v>
      </c>
      <c r="M101" s="1">
        <f t="shared" si="6"/>
        <v>1.18</v>
      </c>
      <c r="N101" s="1">
        <f t="shared" si="7"/>
        <v>48.75</v>
      </c>
      <c r="O101" s="1">
        <v>32.5</v>
      </c>
      <c r="P101">
        <f t="shared" si="8"/>
        <v>1.5</v>
      </c>
      <c r="Q101" t="s">
        <v>26</v>
      </c>
      <c r="R101" t="s">
        <v>39</v>
      </c>
      <c r="S101" t="s">
        <v>36</v>
      </c>
      <c r="T101" t="s">
        <v>26</v>
      </c>
      <c r="U101">
        <v>1840</v>
      </c>
      <c r="V101">
        <f t="shared" si="9"/>
        <v>879.33600000000001</v>
      </c>
    </row>
    <row r="102" spans="1:22" x14ac:dyDescent="0.25">
      <c r="A102" t="s">
        <v>263</v>
      </c>
      <c r="B102" t="s">
        <v>264</v>
      </c>
      <c r="C102" t="s">
        <v>24</v>
      </c>
      <c r="D102" t="s">
        <v>25</v>
      </c>
      <c r="E102">
        <v>250</v>
      </c>
      <c r="F102">
        <v>30</v>
      </c>
      <c r="G102">
        <v>30</v>
      </c>
      <c r="H102" s="2">
        <v>0.3</v>
      </c>
      <c r="I102">
        <v>17</v>
      </c>
      <c r="J102">
        <v>18</v>
      </c>
      <c r="K102" s="1">
        <f t="shared" si="5"/>
        <v>0.94444444444444442</v>
      </c>
      <c r="L102">
        <v>0.2</v>
      </c>
      <c r="M102" s="1">
        <f t="shared" si="6"/>
        <v>1.1888888888888889</v>
      </c>
      <c r="N102" s="1">
        <f t="shared" si="7"/>
        <v>49.755000000000003</v>
      </c>
      <c r="O102" s="1">
        <v>33.17</v>
      </c>
      <c r="P102">
        <f t="shared" si="8"/>
        <v>1.5</v>
      </c>
      <c r="Q102" t="s">
        <v>26</v>
      </c>
      <c r="R102" t="s">
        <v>43</v>
      </c>
      <c r="S102" t="s">
        <v>39</v>
      </c>
      <c r="T102" t="s">
        <v>26</v>
      </c>
      <c r="U102">
        <v>1845</v>
      </c>
      <c r="V102">
        <f t="shared" si="9"/>
        <v>987.07500000000005</v>
      </c>
    </row>
    <row r="103" spans="1:22" x14ac:dyDescent="0.25">
      <c r="A103" t="s">
        <v>265</v>
      </c>
      <c r="B103" t="s">
        <v>266</v>
      </c>
      <c r="C103" t="s">
        <v>24</v>
      </c>
      <c r="D103" t="s">
        <v>25</v>
      </c>
      <c r="E103">
        <v>250</v>
      </c>
      <c r="F103">
        <v>30</v>
      </c>
      <c r="G103">
        <v>30</v>
      </c>
      <c r="H103" s="2">
        <v>0.3</v>
      </c>
      <c r="I103">
        <v>17</v>
      </c>
      <c r="J103">
        <v>18</v>
      </c>
      <c r="K103" s="1">
        <f t="shared" si="5"/>
        <v>0.94444444444444442</v>
      </c>
      <c r="L103">
        <v>0.2</v>
      </c>
      <c r="M103" s="1">
        <f t="shared" si="6"/>
        <v>1.1888888888888889</v>
      </c>
      <c r="N103" s="1">
        <f t="shared" si="7"/>
        <v>40.244999999999997</v>
      </c>
      <c r="O103" s="1">
        <v>26.83</v>
      </c>
      <c r="P103">
        <f t="shared" si="8"/>
        <v>1.5</v>
      </c>
      <c r="Q103" t="s">
        <v>26</v>
      </c>
      <c r="R103" t="s">
        <v>47</v>
      </c>
      <c r="S103" t="s">
        <v>43</v>
      </c>
      <c r="T103" t="s">
        <v>26</v>
      </c>
      <c r="U103">
        <v>1850</v>
      </c>
      <c r="V103">
        <f t="shared" si="9"/>
        <v>989.75</v>
      </c>
    </row>
    <row r="104" spans="1:22" x14ac:dyDescent="0.25">
      <c r="A104" t="s">
        <v>267</v>
      </c>
      <c r="B104" t="s">
        <v>268</v>
      </c>
      <c r="C104" t="s">
        <v>24</v>
      </c>
      <c r="D104" t="s">
        <v>25</v>
      </c>
      <c r="E104">
        <v>250</v>
      </c>
      <c r="F104">
        <v>30</v>
      </c>
      <c r="G104">
        <v>30</v>
      </c>
      <c r="H104" s="2">
        <v>0.3</v>
      </c>
      <c r="I104">
        <v>17</v>
      </c>
      <c r="J104">
        <v>18</v>
      </c>
      <c r="K104" s="1">
        <f t="shared" si="5"/>
        <v>0.94444444444444442</v>
      </c>
      <c r="L104">
        <v>0.2</v>
      </c>
      <c r="M104" s="1">
        <f t="shared" si="6"/>
        <v>1.1888888888888889</v>
      </c>
      <c r="N104" s="1">
        <f t="shared" si="7"/>
        <v>49.994999999999997</v>
      </c>
      <c r="O104" s="1">
        <v>33.33</v>
      </c>
      <c r="P104">
        <f t="shared" si="8"/>
        <v>1.5</v>
      </c>
      <c r="Q104" t="s">
        <v>26</v>
      </c>
      <c r="R104" t="s">
        <v>40</v>
      </c>
      <c r="S104" t="s">
        <v>47</v>
      </c>
      <c r="T104" t="s">
        <v>26</v>
      </c>
      <c r="U104">
        <v>1855</v>
      </c>
      <c r="V104">
        <f t="shared" si="9"/>
        <v>992.42499999999995</v>
      </c>
    </row>
    <row r="105" spans="1:22" x14ac:dyDescent="0.25">
      <c r="A105" t="s">
        <v>269</v>
      </c>
      <c r="B105" t="s">
        <v>270</v>
      </c>
      <c r="C105" t="s">
        <v>24</v>
      </c>
      <c r="D105" t="s">
        <v>25</v>
      </c>
      <c r="E105">
        <v>250</v>
      </c>
      <c r="F105">
        <v>30</v>
      </c>
      <c r="G105">
        <v>30</v>
      </c>
      <c r="H105" s="2">
        <v>0.3</v>
      </c>
      <c r="I105">
        <v>17</v>
      </c>
      <c r="J105">
        <v>18</v>
      </c>
      <c r="K105" s="1">
        <f t="shared" si="5"/>
        <v>0.94444444444444442</v>
      </c>
      <c r="L105">
        <v>0.2</v>
      </c>
      <c r="M105" s="1">
        <f t="shared" si="6"/>
        <v>1.1888888888888889</v>
      </c>
      <c r="N105" s="1">
        <f t="shared" si="7"/>
        <v>33.795000000000002</v>
      </c>
      <c r="O105" s="1">
        <v>22.53</v>
      </c>
      <c r="P105">
        <f t="shared" si="8"/>
        <v>1.5</v>
      </c>
      <c r="Q105" t="s">
        <v>26</v>
      </c>
      <c r="R105" t="s">
        <v>48</v>
      </c>
      <c r="S105" t="s">
        <v>40</v>
      </c>
      <c r="T105" t="s">
        <v>26</v>
      </c>
      <c r="U105">
        <v>1860</v>
      </c>
      <c r="V105">
        <f t="shared" si="9"/>
        <v>995.1</v>
      </c>
    </row>
    <row r="106" spans="1:22" x14ac:dyDescent="0.25">
      <c r="A106" t="s">
        <v>271</v>
      </c>
      <c r="B106" t="s">
        <v>272</v>
      </c>
      <c r="C106" t="s">
        <v>24</v>
      </c>
      <c r="D106" t="s">
        <v>25</v>
      </c>
      <c r="E106">
        <v>250</v>
      </c>
      <c r="F106">
        <v>30</v>
      </c>
      <c r="G106">
        <v>30</v>
      </c>
      <c r="H106" s="2">
        <v>0.3</v>
      </c>
      <c r="I106">
        <v>17</v>
      </c>
      <c r="J106">
        <v>18</v>
      </c>
      <c r="K106" s="1">
        <f t="shared" si="5"/>
        <v>0.94444444444444442</v>
      </c>
      <c r="L106">
        <v>0.2</v>
      </c>
      <c r="M106" s="1">
        <f t="shared" si="6"/>
        <v>1.1888888888888889</v>
      </c>
      <c r="N106" s="1">
        <f t="shared" si="7"/>
        <v>48.300000000000004</v>
      </c>
      <c r="O106" s="1">
        <v>32.200000000000003</v>
      </c>
      <c r="P106">
        <f t="shared" si="8"/>
        <v>1.5</v>
      </c>
      <c r="Q106" t="s">
        <v>26</v>
      </c>
      <c r="R106" t="s">
        <v>51</v>
      </c>
      <c r="S106" t="s">
        <v>48</v>
      </c>
      <c r="T106" t="s">
        <v>26</v>
      </c>
      <c r="U106">
        <v>1865</v>
      </c>
      <c r="V106">
        <f t="shared" si="9"/>
        <v>997.77499999999998</v>
      </c>
    </row>
    <row r="107" spans="1:22" x14ac:dyDescent="0.25">
      <c r="A107" t="s">
        <v>273</v>
      </c>
      <c r="B107" t="s">
        <v>274</v>
      </c>
      <c r="C107" t="s">
        <v>24</v>
      </c>
      <c r="D107" t="s">
        <v>57</v>
      </c>
      <c r="E107">
        <v>180</v>
      </c>
      <c r="F107">
        <v>27</v>
      </c>
      <c r="G107">
        <v>27</v>
      </c>
      <c r="H107" s="2">
        <v>0.27</v>
      </c>
      <c r="I107">
        <v>9</v>
      </c>
      <c r="J107">
        <v>10</v>
      </c>
      <c r="K107" s="1">
        <f t="shared" si="5"/>
        <v>0.9</v>
      </c>
      <c r="L107">
        <v>0.2</v>
      </c>
      <c r="M107" s="1">
        <f t="shared" si="6"/>
        <v>1.18</v>
      </c>
      <c r="N107" s="1">
        <f t="shared" si="7"/>
        <v>52.005000000000003</v>
      </c>
      <c r="O107" s="1">
        <v>34.67</v>
      </c>
      <c r="P107">
        <f t="shared" si="8"/>
        <v>1.5</v>
      </c>
      <c r="Q107" t="s">
        <v>26</v>
      </c>
      <c r="R107" t="s">
        <v>54</v>
      </c>
      <c r="S107" t="s">
        <v>51</v>
      </c>
      <c r="T107" t="s">
        <v>26</v>
      </c>
      <c r="U107">
        <v>1870</v>
      </c>
      <c r="V107">
        <f t="shared" si="9"/>
        <v>893.673</v>
      </c>
    </row>
    <row r="108" spans="1:22" x14ac:dyDescent="0.25">
      <c r="A108" t="s">
        <v>275</v>
      </c>
      <c r="B108" t="s">
        <v>276</v>
      </c>
      <c r="C108" t="s">
        <v>24</v>
      </c>
      <c r="D108" t="s">
        <v>57</v>
      </c>
      <c r="E108">
        <v>180</v>
      </c>
      <c r="F108">
        <v>27</v>
      </c>
      <c r="G108">
        <v>27</v>
      </c>
      <c r="H108" s="2">
        <v>0.27</v>
      </c>
      <c r="I108">
        <v>9</v>
      </c>
      <c r="J108">
        <v>10</v>
      </c>
      <c r="K108" s="1">
        <f t="shared" si="5"/>
        <v>0.9</v>
      </c>
      <c r="L108">
        <v>0.2</v>
      </c>
      <c r="M108" s="1">
        <f t="shared" si="6"/>
        <v>1.18</v>
      </c>
      <c r="N108" s="1">
        <f t="shared" si="7"/>
        <v>52.005000000000003</v>
      </c>
      <c r="O108" s="1">
        <v>34.67</v>
      </c>
      <c r="P108">
        <f t="shared" si="8"/>
        <v>1.5</v>
      </c>
      <c r="Q108" t="s">
        <v>26</v>
      </c>
      <c r="R108" t="s">
        <v>63</v>
      </c>
      <c r="S108" t="s">
        <v>54</v>
      </c>
      <c r="T108" t="s">
        <v>26</v>
      </c>
      <c r="U108">
        <v>1875</v>
      </c>
      <c r="V108">
        <f t="shared" si="9"/>
        <v>896.06250000000011</v>
      </c>
    </row>
    <row r="109" spans="1:22" x14ac:dyDescent="0.25">
      <c r="A109" t="s">
        <v>277</v>
      </c>
      <c r="B109" t="s">
        <v>278</v>
      </c>
      <c r="C109" t="s">
        <v>24</v>
      </c>
      <c r="D109" t="s">
        <v>57</v>
      </c>
      <c r="E109">
        <v>180</v>
      </c>
      <c r="F109">
        <v>27</v>
      </c>
      <c r="G109">
        <v>27</v>
      </c>
      <c r="H109" s="2">
        <v>0.27</v>
      </c>
      <c r="I109">
        <v>9</v>
      </c>
      <c r="J109">
        <v>10</v>
      </c>
      <c r="K109" s="1">
        <f t="shared" si="5"/>
        <v>0.9</v>
      </c>
      <c r="L109">
        <v>0.2</v>
      </c>
      <c r="M109" s="1">
        <f t="shared" si="6"/>
        <v>1.18</v>
      </c>
      <c r="N109" s="1">
        <f t="shared" si="7"/>
        <v>48.75</v>
      </c>
      <c r="O109" s="1">
        <v>32.5</v>
      </c>
      <c r="P109">
        <f t="shared" si="8"/>
        <v>1.5</v>
      </c>
      <c r="Q109" t="s">
        <v>26</v>
      </c>
      <c r="R109" t="s">
        <v>58</v>
      </c>
      <c r="S109" t="s">
        <v>63</v>
      </c>
      <c r="T109" t="s">
        <v>26</v>
      </c>
      <c r="U109">
        <v>1880</v>
      </c>
      <c r="V109">
        <f t="shared" si="9"/>
        <v>898.45200000000011</v>
      </c>
    </row>
    <row r="110" spans="1:22" x14ac:dyDescent="0.25">
      <c r="A110" t="s">
        <v>279</v>
      </c>
      <c r="B110" t="s">
        <v>280</v>
      </c>
      <c r="C110" t="s">
        <v>24</v>
      </c>
      <c r="D110" t="s">
        <v>57</v>
      </c>
      <c r="E110">
        <v>180</v>
      </c>
      <c r="F110">
        <v>27</v>
      </c>
      <c r="G110">
        <v>27</v>
      </c>
      <c r="H110" s="2">
        <v>0.27</v>
      </c>
      <c r="I110">
        <v>8</v>
      </c>
      <c r="J110">
        <v>10</v>
      </c>
      <c r="K110" s="1">
        <f t="shared" si="5"/>
        <v>0.8</v>
      </c>
      <c r="L110">
        <v>0.2</v>
      </c>
      <c r="M110" s="1">
        <f t="shared" si="6"/>
        <v>1.1600000000000001</v>
      </c>
      <c r="N110" s="1">
        <f t="shared" si="7"/>
        <v>58.005000000000003</v>
      </c>
      <c r="O110" s="1">
        <v>38.67</v>
      </c>
      <c r="P110">
        <f t="shared" si="8"/>
        <v>1.5</v>
      </c>
      <c r="Q110" t="s">
        <v>26</v>
      </c>
      <c r="R110" t="s">
        <v>64</v>
      </c>
      <c r="S110" t="s">
        <v>58</v>
      </c>
      <c r="T110" t="s">
        <v>26</v>
      </c>
      <c r="U110">
        <v>1885</v>
      </c>
      <c r="V110">
        <f t="shared" si="9"/>
        <v>885.57300000000021</v>
      </c>
    </row>
    <row r="111" spans="1:22" x14ac:dyDescent="0.25">
      <c r="A111" t="s">
        <v>281</v>
      </c>
      <c r="B111" t="s">
        <v>282</v>
      </c>
      <c r="C111" t="s">
        <v>24</v>
      </c>
      <c r="D111" t="s">
        <v>57</v>
      </c>
      <c r="E111">
        <v>180</v>
      </c>
      <c r="F111">
        <v>27</v>
      </c>
      <c r="G111">
        <v>27</v>
      </c>
      <c r="H111" s="2">
        <v>0.27</v>
      </c>
      <c r="I111">
        <v>8</v>
      </c>
      <c r="J111">
        <v>10</v>
      </c>
      <c r="K111" s="1">
        <f t="shared" si="5"/>
        <v>0.8</v>
      </c>
      <c r="L111">
        <v>0.2</v>
      </c>
      <c r="M111" s="1">
        <f t="shared" si="6"/>
        <v>1.1600000000000001</v>
      </c>
      <c r="N111" s="1">
        <f t="shared" si="7"/>
        <v>48.75</v>
      </c>
      <c r="O111" s="1">
        <v>32.5</v>
      </c>
      <c r="P111">
        <f t="shared" si="8"/>
        <v>1.5</v>
      </c>
      <c r="Q111" t="s">
        <v>26</v>
      </c>
      <c r="R111" t="s">
        <v>67</v>
      </c>
      <c r="S111" t="s">
        <v>64</v>
      </c>
      <c r="T111" t="s">
        <v>26</v>
      </c>
      <c r="U111">
        <v>1890</v>
      </c>
      <c r="V111">
        <f t="shared" si="9"/>
        <v>887.92200000000014</v>
      </c>
    </row>
    <row r="112" spans="1:22" x14ac:dyDescent="0.25">
      <c r="A112" t="s">
        <v>283</v>
      </c>
      <c r="B112" t="s">
        <v>284</v>
      </c>
      <c r="C112" t="s">
        <v>24</v>
      </c>
      <c r="D112" t="s">
        <v>57</v>
      </c>
      <c r="E112">
        <v>180</v>
      </c>
      <c r="F112">
        <v>27</v>
      </c>
      <c r="G112">
        <v>27</v>
      </c>
      <c r="H112" s="2">
        <v>0.27</v>
      </c>
      <c r="I112">
        <v>8</v>
      </c>
      <c r="J112">
        <v>10</v>
      </c>
      <c r="K112" s="1">
        <f t="shared" si="5"/>
        <v>0.8</v>
      </c>
      <c r="L112">
        <v>0.2</v>
      </c>
      <c r="M112" s="1">
        <f t="shared" si="6"/>
        <v>1.1600000000000001</v>
      </c>
      <c r="N112" s="1">
        <f t="shared" si="7"/>
        <v>49.755000000000003</v>
      </c>
      <c r="O112" s="1">
        <v>33.17</v>
      </c>
      <c r="P112">
        <f t="shared" si="8"/>
        <v>1.5</v>
      </c>
      <c r="Q112" t="s">
        <v>26</v>
      </c>
      <c r="R112" t="s">
        <v>70</v>
      </c>
      <c r="S112" t="s">
        <v>67</v>
      </c>
      <c r="T112" t="s">
        <v>26</v>
      </c>
      <c r="U112">
        <v>1895</v>
      </c>
      <c r="V112">
        <f t="shared" si="9"/>
        <v>890.27100000000019</v>
      </c>
    </row>
    <row r="113" spans="1:22" x14ac:dyDescent="0.25">
      <c r="A113" t="s">
        <v>285</v>
      </c>
      <c r="B113" t="s">
        <v>286</v>
      </c>
      <c r="C113" t="s">
        <v>24</v>
      </c>
      <c r="D113" t="s">
        <v>57</v>
      </c>
      <c r="E113">
        <v>180</v>
      </c>
      <c r="F113">
        <v>27</v>
      </c>
      <c r="G113">
        <v>27</v>
      </c>
      <c r="H113" s="2">
        <v>0.27</v>
      </c>
      <c r="I113">
        <v>8</v>
      </c>
      <c r="J113">
        <v>10</v>
      </c>
      <c r="K113" s="1">
        <f t="shared" si="5"/>
        <v>0.8</v>
      </c>
      <c r="L113">
        <v>0.2</v>
      </c>
      <c r="M113" s="1">
        <f t="shared" si="6"/>
        <v>1.1600000000000001</v>
      </c>
      <c r="N113" s="1">
        <f t="shared" si="7"/>
        <v>40.244999999999997</v>
      </c>
      <c r="O113" s="1">
        <v>26.83</v>
      </c>
      <c r="P113">
        <f t="shared" si="8"/>
        <v>1.5</v>
      </c>
      <c r="Q113" t="s">
        <v>26</v>
      </c>
      <c r="R113" t="s">
        <v>78</v>
      </c>
      <c r="S113" t="s">
        <v>70</v>
      </c>
      <c r="T113" t="s">
        <v>26</v>
      </c>
      <c r="U113">
        <v>1900</v>
      </c>
      <c r="V113">
        <f t="shared" si="9"/>
        <v>892.62000000000012</v>
      </c>
    </row>
    <row r="114" spans="1:22" x14ac:dyDescent="0.25">
      <c r="A114" t="s">
        <v>287</v>
      </c>
      <c r="B114" t="s">
        <v>288</v>
      </c>
      <c r="C114" t="s">
        <v>24</v>
      </c>
      <c r="D114" t="s">
        <v>57</v>
      </c>
      <c r="E114">
        <v>180</v>
      </c>
      <c r="F114">
        <v>27</v>
      </c>
      <c r="G114">
        <v>27</v>
      </c>
      <c r="H114" s="2">
        <v>0.27</v>
      </c>
      <c r="I114">
        <v>9</v>
      </c>
      <c r="J114">
        <v>10</v>
      </c>
      <c r="K114" s="1">
        <f t="shared" si="5"/>
        <v>0.9</v>
      </c>
      <c r="L114">
        <v>0.2</v>
      </c>
      <c r="M114" s="1">
        <f t="shared" si="6"/>
        <v>1.18</v>
      </c>
      <c r="N114" s="1">
        <f t="shared" si="7"/>
        <v>49.994999999999997</v>
      </c>
      <c r="O114" s="1">
        <v>33.33</v>
      </c>
      <c r="P114">
        <f t="shared" si="8"/>
        <v>1.5</v>
      </c>
      <c r="Q114" t="s">
        <v>26</v>
      </c>
      <c r="S114" t="s">
        <v>73</v>
      </c>
      <c r="T114" t="s">
        <v>26</v>
      </c>
      <c r="U114">
        <v>1905</v>
      </c>
      <c r="V114">
        <f t="shared" si="9"/>
        <v>910.3995000000001</v>
      </c>
    </row>
    <row r="115" spans="1:22" x14ac:dyDescent="0.25">
      <c r="A115" t="s">
        <v>289</v>
      </c>
      <c r="B115" t="s">
        <v>290</v>
      </c>
      <c r="C115" t="s">
        <v>24</v>
      </c>
      <c r="D115" t="s">
        <v>57</v>
      </c>
      <c r="E115">
        <v>180</v>
      </c>
      <c r="F115">
        <v>27</v>
      </c>
      <c r="G115">
        <v>27</v>
      </c>
      <c r="H115" s="2">
        <v>0.27</v>
      </c>
      <c r="I115">
        <v>11</v>
      </c>
      <c r="J115">
        <v>10</v>
      </c>
      <c r="K115" s="1">
        <f t="shared" si="5"/>
        <v>1.1000000000000001</v>
      </c>
      <c r="L115">
        <v>0.2</v>
      </c>
      <c r="M115" s="1">
        <f t="shared" si="6"/>
        <v>1.22</v>
      </c>
      <c r="N115" s="1">
        <f t="shared" si="7"/>
        <v>33.795000000000002</v>
      </c>
      <c r="O115" s="1">
        <v>22.53</v>
      </c>
      <c r="P115">
        <f t="shared" si="8"/>
        <v>1.5</v>
      </c>
      <c r="Q115" t="s">
        <v>26</v>
      </c>
      <c r="S115" t="s">
        <v>73</v>
      </c>
      <c r="T115" t="s">
        <v>26</v>
      </c>
      <c r="U115">
        <v>1910</v>
      </c>
      <c r="V115">
        <f t="shared" si="9"/>
        <v>943.73100000000011</v>
      </c>
    </row>
    <row r="116" spans="1:22" x14ac:dyDescent="0.25">
      <c r="A116" t="s">
        <v>291</v>
      </c>
      <c r="B116" t="s">
        <v>292</v>
      </c>
      <c r="C116" t="s">
        <v>24</v>
      </c>
      <c r="D116" t="s">
        <v>25</v>
      </c>
      <c r="E116">
        <v>250</v>
      </c>
      <c r="F116">
        <v>30</v>
      </c>
      <c r="G116">
        <v>30</v>
      </c>
      <c r="H116" s="2">
        <v>0.3</v>
      </c>
      <c r="I116">
        <v>17</v>
      </c>
      <c r="J116">
        <v>18</v>
      </c>
      <c r="K116" s="1">
        <f t="shared" si="5"/>
        <v>0.94444444444444442</v>
      </c>
      <c r="L116">
        <v>0.2</v>
      </c>
      <c r="M116" s="1">
        <f t="shared" si="6"/>
        <v>1.1888888888888889</v>
      </c>
      <c r="N116" s="1">
        <f t="shared" si="7"/>
        <v>48.300000000000004</v>
      </c>
      <c r="O116" s="1">
        <v>32.200000000000003</v>
      </c>
      <c r="P116">
        <f t="shared" si="8"/>
        <v>1.5</v>
      </c>
      <c r="Q116" t="s">
        <v>26</v>
      </c>
      <c r="R116" t="s">
        <v>79</v>
      </c>
      <c r="S116" t="s">
        <v>162</v>
      </c>
      <c r="T116" t="s">
        <v>26</v>
      </c>
      <c r="U116">
        <v>1915</v>
      </c>
      <c r="V116">
        <f t="shared" si="9"/>
        <v>1024.5250000000001</v>
      </c>
    </row>
    <row r="117" spans="1:22" x14ac:dyDescent="0.25">
      <c r="A117" t="s">
        <v>293</v>
      </c>
      <c r="B117" t="s">
        <v>294</v>
      </c>
      <c r="C117" t="s">
        <v>24</v>
      </c>
      <c r="D117" t="s">
        <v>25</v>
      </c>
      <c r="E117">
        <v>250</v>
      </c>
      <c r="F117">
        <v>30</v>
      </c>
      <c r="G117">
        <v>30</v>
      </c>
      <c r="H117" s="2">
        <v>0.3</v>
      </c>
      <c r="I117">
        <v>17</v>
      </c>
      <c r="J117">
        <v>18</v>
      </c>
      <c r="K117" s="1">
        <f t="shared" si="5"/>
        <v>0.94444444444444442</v>
      </c>
      <c r="L117">
        <v>0.2</v>
      </c>
      <c r="M117" s="1">
        <f t="shared" si="6"/>
        <v>1.1888888888888889</v>
      </c>
      <c r="N117" s="1">
        <f t="shared" si="7"/>
        <v>52.005000000000003</v>
      </c>
      <c r="O117" s="1">
        <v>34.67</v>
      </c>
      <c r="P117">
        <f t="shared" si="8"/>
        <v>1.5</v>
      </c>
      <c r="Q117" t="s">
        <v>26</v>
      </c>
      <c r="R117" t="s">
        <v>83</v>
      </c>
      <c r="S117" t="s">
        <v>79</v>
      </c>
      <c r="T117" t="s">
        <v>26</v>
      </c>
      <c r="U117">
        <v>1920</v>
      </c>
      <c r="V117">
        <f>U117*H117*P117*M117</f>
        <v>1027.2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4B2C-271C-4890-A147-2ED7E00B512A}">
  <dimension ref="D12:D15"/>
  <sheetViews>
    <sheetView workbookViewId="0">
      <selection activeCell="F12" sqref="F12"/>
    </sheetView>
  </sheetViews>
  <sheetFormatPr defaultRowHeight="15" x14ac:dyDescent="0.25"/>
  <cols>
    <col min="4" max="4" width="66.42578125" bestFit="1" customWidth="1"/>
  </cols>
  <sheetData>
    <row r="12" spans="4:4" ht="18.75" x14ac:dyDescent="0.3">
      <c r="D12" s="6" t="s">
        <v>295</v>
      </c>
    </row>
    <row r="13" spans="4:4" x14ac:dyDescent="0.25">
      <c r="D13" t="s">
        <v>296</v>
      </c>
    </row>
    <row r="14" spans="4:4" x14ac:dyDescent="0.25">
      <c r="D14" t="s">
        <v>297</v>
      </c>
    </row>
    <row r="15" spans="4:4" x14ac:dyDescent="0.25">
      <c r="D15" t="s">
        <v>298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 001.1</vt:lpstr>
      <vt:lpstr>Definition of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ADEOLA AGBAJE</dc:creator>
  <cp:lastModifiedBy>ADEOLA AGBAJE</cp:lastModifiedBy>
  <dcterms:created xsi:type="dcterms:W3CDTF">2026-05-09T21:06:37Z</dcterms:created>
  <dcterms:modified xsi:type="dcterms:W3CDTF">2026-05-10T17:59:48Z</dcterms:modified>
</cp:coreProperties>
</file>